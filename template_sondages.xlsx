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homas/Desktop/Infographies/"/>
    </mc:Choice>
  </mc:AlternateContent>
  <xr:revisionPtr revIDLastSave="0" documentId="13_ncr:1_{06B0F6FC-5A9E-544E-AFBC-A1B014330979}" xr6:coauthVersionLast="47" xr6:coauthVersionMax="47" xr10:uidLastSave="{00000000-0000-0000-0000-000000000000}"/>
  <bookViews>
    <workbookView xWindow="-200" yWindow="1120" windowWidth="25540" windowHeight="14260" tabRatio="500" firstSheet="2" activeTab="7" xr2:uid="{00000000-000D-0000-FFFF-FFFF00000000}"/>
  </bookViews>
  <sheets>
    <sheet name="Législatives 2024 T1" sheetId="1" r:id="rId1"/>
    <sheet name="Européennes 2024" sheetId="2" r:id="rId2"/>
    <sheet name="Législatives 2022 T1" sheetId="3" r:id="rId3"/>
    <sheet name="Présidentielle 2022 T2" sheetId="4" r:id="rId4"/>
    <sheet name="Présidentielle 2022 T1" sheetId="5" r:id="rId5"/>
    <sheet name="Européennes 2019" sheetId="6" r:id="rId6"/>
    <sheet name="Législatives 2017 T1" sheetId="7" r:id="rId7"/>
    <sheet name="Présidentielle 2017 T2" sheetId="8" r:id="rId8"/>
    <sheet name="Présidentielle 2017 T1" sheetId="9" r:id="rId9"/>
    <sheet name="Européennes 2014" sheetId="10" r:id="rId10"/>
    <sheet name="Législatives 2012 T1" sheetId="11" r:id="rId11"/>
    <sheet name="Présidentielle 2012 T2" sheetId="12" r:id="rId12"/>
    <sheet name="Présidentielle 2012 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3" l="1"/>
  <c r="G24" i="13"/>
  <c r="F24" i="13"/>
  <c r="E24" i="13"/>
  <c r="D24" i="13"/>
  <c r="I24" i="13" s="1"/>
  <c r="A24" i="13"/>
  <c r="H23" i="13"/>
  <c r="G23" i="13"/>
  <c r="F23" i="13"/>
  <c r="E23" i="13"/>
  <c r="D23" i="13"/>
  <c r="I23" i="13" s="1"/>
  <c r="A23" i="13"/>
  <c r="H22" i="13"/>
  <c r="G22" i="13"/>
  <c r="F22" i="13"/>
  <c r="E22" i="13"/>
  <c r="D22" i="13"/>
  <c r="I22" i="13" s="1"/>
  <c r="A22" i="13"/>
  <c r="I21" i="13"/>
  <c r="H21" i="13"/>
  <c r="G21" i="13"/>
  <c r="F21" i="13"/>
  <c r="E21" i="13"/>
  <c r="D21" i="13"/>
  <c r="A21" i="13"/>
  <c r="I20" i="13"/>
  <c r="H20" i="13"/>
  <c r="G20" i="13"/>
  <c r="F20" i="13"/>
  <c r="E20" i="13"/>
  <c r="D20" i="13"/>
  <c r="A20" i="13"/>
  <c r="I19" i="13"/>
  <c r="H19" i="13"/>
  <c r="G19" i="13"/>
  <c r="F19" i="13"/>
  <c r="E19" i="13"/>
  <c r="D19" i="13"/>
  <c r="A19" i="13"/>
  <c r="H18" i="13"/>
  <c r="G18" i="13"/>
  <c r="F18" i="13"/>
  <c r="E18" i="13"/>
  <c r="D18" i="13"/>
  <c r="I18" i="13" s="1"/>
  <c r="A18" i="13"/>
  <c r="H17" i="13"/>
  <c r="G17" i="13"/>
  <c r="F17" i="13"/>
  <c r="E17" i="13"/>
  <c r="D17" i="13"/>
  <c r="F26" i="12"/>
  <c r="E26" i="12"/>
  <c r="D26" i="12"/>
  <c r="A26" i="12"/>
  <c r="E25" i="12"/>
  <c r="D25" i="12"/>
  <c r="F25" i="12" s="1"/>
  <c r="A25" i="12"/>
  <c r="F24" i="12"/>
  <c r="E24" i="12"/>
  <c r="D24" i="12"/>
  <c r="A24" i="12"/>
  <c r="E23" i="12"/>
  <c r="D23" i="12"/>
  <c r="F23" i="12" s="1"/>
  <c r="A23" i="12"/>
  <c r="F22" i="12"/>
  <c r="E22" i="12"/>
  <c r="D22" i="12"/>
  <c r="A22" i="12"/>
  <c r="E21" i="12"/>
  <c r="D21" i="12"/>
  <c r="F21" i="12" s="1"/>
  <c r="A21" i="12"/>
  <c r="F20" i="12"/>
  <c r="E20" i="12"/>
  <c r="D20" i="12"/>
  <c r="A20" i="12"/>
  <c r="E19" i="12"/>
  <c r="D19" i="12"/>
  <c r="F19" i="12" s="1"/>
  <c r="A19" i="12"/>
  <c r="E18" i="12"/>
  <c r="D18" i="12"/>
  <c r="I22" i="10"/>
  <c r="H22" i="10"/>
  <c r="G22" i="10"/>
  <c r="F22" i="10"/>
  <c r="E22" i="10"/>
  <c r="D22" i="10"/>
  <c r="J22" i="10" s="1"/>
  <c r="A22" i="10"/>
  <c r="I21" i="10"/>
  <c r="H21" i="10"/>
  <c r="G21" i="10"/>
  <c r="F21" i="10"/>
  <c r="E21" i="10"/>
  <c r="D21" i="10"/>
  <c r="J21" i="10" s="1"/>
  <c r="I20" i="10"/>
  <c r="H20" i="10"/>
  <c r="G20" i="10"/>
  <c r="F20" i="10"/>
  <c r="E20" i="10"/>
  <c r="D20" i="10"/>
  <c r="J20" i="10" s="1"/>
  <c r="A20" i="10"/>
  <c r="I19" i="10"/>
  <c r="H19" i="10"/>
  <c r="G19" i="10"/>
  <c r="F19" i="10"/>
  <c r="E19" i="10"/>
  <c r="D19" i="10"/>
  <c r="J19" i="10" s="1"/>
  <c r="A19" i="10"/>
  <c r="I18" i="10"/>
  <c r="H18" i="10"/>
  <c r="G18" i="10"/>
  <c r="F18" i="10"/>
  <c r="E18" i="10"/>
  <c r="D18" i="10"/>
  <c r="J18" i="10" s="1"/>
  <c r="A18" i="10"/>
  <c r="I17" i="10"/>
  <c r="H17" i="10"/>
  <c r="G17" i="10"/>
  <c r="F17" i="10"/>
  <c r="E17" i="10"/>
  <c r="D17" i="10"/>
  <c r="J17" i="10" s="1"/>
  <c r="A17" i="10"/>
  <c r="I16" i="10"/>
  <c r="H16" i="10"/>
  <c r="G16" i="10"/>
  <c r="F16" i="10"/>
  <c r="E16" i="10"/>
  <c r="D16" i="10"/>
  <c r="I26" i="9"/>
  <c r="H26" i="9"/>
  <c r="G26" i="9"/>
  <c r="F26" i="9"/>
  <c r="E26" i="9"/>
  <c r="D26" i="9"/>
  <c r="J26" i="9" s="1"/>
  <c r="A26" i="9"/>
  <c r="I25" i="9"/>
  <c r="H25" i="9"/>
  <c r="G25" i="9"/>
  <c r="F25" i="9"/>
  <c r="E25" i="9"/>
  <c r="D25" i="9"/>
  <c r="J25" i="9" s="1"/>
  <c r="A25" i="9"/>
  <c r="I24" i="9"/>
  <c r="H24" i="9"/>
  <c r="G24" i="9"/>
  <c r="F24" i="9"/>
  <c r="E24" i="9"/>
  <c r="D24" i="9"/>
  <c r="J24" i="9" s="1"/>
  <c r="A24" i="9"/>
  <c r="I23" i="9"/>
  <c r="H23" i="9"/>
  <c r="G23" i="9"/>
  <c r="F23" i="9"/>
  <c r="E23" i="9"/>
  <c r="D23" i="9"/>
  <c r="J23" i="9" s="1"/>
  <c r="A23" i="9"/>
  <c r="I22" i="9"/>
  <c r="H22" i="9"/>
  <c r="G22" i="9"/>
  <c r="F22" i="9"/>
  <c r="E22" i="9"/>
  <c r="D22" i="9"/>
  <c r="J22" i="9" s="1"/>
  <c r="A22" i="9"/>
  <c r="I21" i="9"/>
  <c r="H21" i="9"/>
  <c r="G21" i="9"/>
  <c r="F21" i="9"/>
  <c r="E21" i="9"/>
  <c r="D21" i="9"/>
  <c r="J21" i="9" s="1"/>
  <c r="A21" i="9"/>
  <c r="I20" i="9"/>
  <c r="H20" i="9"/>
  <c r="G20" i="9"/>
  <c r="F20" i="9"/>
  <c r="E20" i="9"/>
  <c r="D20" i="9"/>
  <c r="J20" i="9" s="1"/>
  <c r="A20" i="9"/>
  <c r="I19" i="9"/>
  <c r="H19" i="9"/>
  <c r="G19" i="9"/>
  <c r="F19" i="9"/>
  <c r="E19" i="9"/>
  <c r="D19" i="9"/>
  <c r="J19" i="9" s="1"/>
  <c r="A19" i="9"/>
  <c r="I18" i="9"/>
  <c r="H18" i="9"/>
  <c r="G18" i="9"/>
  <c r="F18" i="9"/>
  <c r="E18" i="9"/>
  <c r="D18" i="9"/>
  <c r="F28" i="8"/>
  <c r="E28" i="8"/>
  <c r="D28" i="8"/>
  <c r="A28" i="8"/>
  <c r="E27" i="8"/>
  <c r="D27" i="8"/>
  <c r="F27" i="8" s="1"/>
  <c r="A27" i="8"/>
  <c r="E26" i="8"/>
  <c r="F26" i="8" s="1"/>
  <c r="D26" i="8"/>
  <c r="A26" i="8"/>
  <c r="E25" i="8"/>
  <c r="D25" i="8"/>
  <c r="F25" i="8" s="1"/>
  <c r="A25" i="8"/>
  <c r="E24" i="8"/>
  <c r="F24" i="8" s="1"/>
  <c r="D24" i="8"/>
  <c r="A24" i="8"/>
  <c r="E23" i="8"/>
  <c r="D23" i="8"/>
  <c r="F23" i="8" s="1"/>
  <c r="A23" i="8"/>
  <c r="E22" i="8"/>
  <c r="F22" i="8" s="1"/>
  <c r="D22" i="8"/>
  <c r="A22" i="8"/>
  <c r="E21" i="8"/>
  <c r="D21" i="8"/>
  <c r="F21" i="8" s="1"/>
  <c r="A21" i="8"/>
  <c r="E20" i="8"/>
  <c r="F20" i="8" s="1"/>
  <c r="D20" i="8"/>
  <c r="A20" i="8"/>
  <c r="E19" i="8"/>
  <c r="D19" i="8"/>
  <c r="I28" i="7"/>
  <c r="H28" i="7"/>
  <c r="G28" i="7"/>
  <c r="F28" i="7"/>
  <c r="E28" i="7"/>
  <c r="D28" i="7"/>
  <c r="A28" i="7"/>
  <c r="H27" i="7"/>
  <c r="G27" i="7"/>
  <c r="F27" i="7"/>
  <c r="E27" i="7"/>
  <c r="D27" i="7"/>
  <c r="I27" i="7" s="1"/>
  <c r="A27" i="7"/>
  <c r="H26" i="7"/>
  <c r="G26" i="7"/>
  <c r="F26" i="7"/>
  <c r="E26" i="7"/>
  <c r="D26" i="7"/>
  <c r="I26" i="7" s="1"/>
  <c r="A26" i="7"/>
  <c r="H25" i="7"/>
  <c r="G25" i="7"/>
  <c r="F25" i="7"/>
  <c r="E25" i="7"/>
  <c r="D25" i="7"/>
  <c r="I25" i="7" s="1"/>
  <c r="A25" i="7"/>
  <c r="I24" i="7"/>
  <c r="H24" i="7"/>
  <c r="G24" i="7"/>
  <c r="F24" i="7"/>
  <c r="E24" i="7"/>
  <c r="D24" i="7"/>
  <c r="A24" i="7"/>
  <c r="I23" i="7"/>
  <c r="H23" i="7"/>
  <c r="G23" i="7"/>
  <c r="F23" i="7"/>
  <c r="E23" i="7"/>
  <c r="D23" i="7"/>
  <c r="A23" i="7"/>
  <c r="H22" i="7"/>
  <c r="I22" i="7" s="1"/>
  <c r="G22" i="7"/>
  <c r="F22" i="7"/>
  <c r="E22" i="7"/>
  <c r="D22" i="7"/>
  <c r="A22" i="7"/>
  <c r="H21" i="7"/>
  <c r="G21" i="7"/>
  <c r="F21" i="7"/>
  <c r="E21" i="7"/>
  <c r="D21" i="7"/>
  <c r="I21" i="7" s="1"/>
  <c r="A21" i="7"/>
  <c r="H20" i="7"/>
  <c r="G20" i="7"/>
  <c r="F20" i="7"/>
  <c r="E20" i="7"/>
  <c r="I20" i="7" s="1"/>
  <c r="D20" i="7"/>
  <c r="A20" i="7"/>
  <c r="H19" i="7"/>
  <c r="G19" i="7"/>
  <c r="F19" i="7"/>
  <c r="E19" i="7"/>
  <c r="D19" i="7"/>
  <c r="I24" i="6"/>
  <c r="H24" i="6"/>
  <c r="G24" i="6"/>
  <c r="F24" i="6"/>
  <c r="E24" i="6"/>
  <c r="D24" i="6"/>
  <c r="J24" i="6" s="1"/>
  <c r="A24" i="6"/>
  <c r="I23" i="6"/>
  <c r="H23" i="6"/>
  <c r="G23" i="6"/>
  <c r="F23" i="6"/>
  <c r="E23" i="6"/>
  <c r="D23" i="6"/>
  <c r="J23" i="6" s="1"/>
  <c r="J22" i="6"/>
  <c r="I22" i="6"/>
  <c r="H22" i="6"/>
  <c r="G22" i="6"/>
  <c r="F22" i="6"/>
  <c r="E22" i="6"/>
  <c r="D22" i="6"/>
  <c r="A22" i="6"/>
  <c r="J21" i="6"/>
  <c r="I21" i="6"/>
  <c r="H21" i="6"/>
  <c r="G21" i="6"/>
  <c r="F21" i="6"/>
  <c r="E21" i="6"/>
  <c r="D21" i="6"/>
  <c r="A21" i="6"/>
  <c r="J20" i="6"/>
  <c r="I20" i="6"/>
  <c r="H20" i="6"/>
  <c r="G20" i="6"/>
  <c r="F20" i="6"/>
  <c r="E20" i="6"/>
  <c r="D20" i="6"/>
  <c r="A20" i="6"/>
  <c r="J19" i="6"/>
  <c r="I19" i="6"/>
  <c r="H19" i="6"/>
  <c r="G19" i="6"/>
  <c r="F19" i="6"/>
  <c r="E19" i="6"/>
  <c r="D19" i="6"/>
  <c r="A19" i="6"/>
  <c r="J18" i="6"/>
  <c r="I18" i="6"/>
  <c r="H18" i="6"/>
  <c r="G18" i="6"/>
  <c r="F18" i="6"/>
  <c r="E18" i="6"/>
  <c r="D18" i="6"/>
  <c r="A18" i="6"/>
  <c r="I17" i="6"/>
  <c r="H17" i="6"/>
  <c r="G17" i="6"/>
  <c r="F17" i="6"/>
  <c r="E17" i="6"/>
  <c r="D17" i="6"/>
  <c r="H30" i="5"/>
  <c r="G30" i="5"/>
  <c r="I30" i="5" s="1"/>
  <c r="F30" i="5"/>
  <c r="E30" i="5"/>
  <c r="D30" i="5"/>
  <c r="A30" i="5"/>
  <c r="H29" i="5"/>
  <c r="G29" i="5"/>
  <c r="F29" i="5"/>
  <c r="E29" i="5"/>
  <c r="I29" i="5" s="1"/>
  <c r="D29" i="5"/>
  <c r="A29" i="5"/>
  <c r="H28" i="5"/>
  <c r="G28" i="5"/>
  <c r="F28" i="5"/>
  <c r="E28" i="5"/>
  <c r="I28" i="5" s="1"/>
  <c r="D28" i="5"/>
  <c r="A28" i="5"/>
  <c r="H27" i="5"/>
  <c r="G27" i="5"/>
  <c r="F27" i="5"/>
  <c r="E27" i="5"/>
  <c r="D27" i="5"/>
  <c r="I27" i="5" s="1"/>
  <c r="A27" i="5"/>
  <c r="H26" i="5"/>
  <c r="G26" i="5"/>
  <c r="F26" i="5"/>
  <c r="E26" i="5"/>
  <c r="D26" i="5"/>
  <c r="I26" i="5" s="1"/>
  <c r="A26" i="5"/>
  <c r="H25" i="5"/>
  <c r="G25" i="5"/>
  <c r="F25" i="5"/>
  <c r="E25" i="5"/>
  <c r="D25" i="5"/>
  <c r="I25" i="5" s="1"/>
  <c r="A25" i="5"/>
  <c r="I24" i="5"/>
  <c r="H24" i="5"/>
  <c r="G24" i="5"/>
  <c r="F24" i="5"/>
  <c r="E24" i="5"/>
  <c r="D24" i="5"/>
  <c r="A24" i="5"/>
  <c r="H23" i="5"/>
  <c r="I23" i="5" s="1"/>
  <c r="G23" i="5"/>
  <c r="F23" i="5"/>
  <c r="E23" i="5"/>
  <c r="D23" i="5"/>
  <c r="A23" i="5"/>
  <c r="H22" i="5"/>
  <c r="G22" i="5"/>
  <c r="I22" i="5" s="1"/>
  <c r="F22" i="5"/>
  <c r="E22" i="5"/>
  <c r="D22" i="5"/>
  <c r="A22" i="5"/>
  <c r="H21" i="5"/>
  <c r="G21" i="5"/>
  <c r="F21" i="5"/>
  <c r="E21" i="5"/>
  <c r="D21" i="5"/>
  <c r="I21" i="5" s="1"/>
  <c r="A21" i="5"/>
  <c r="H20" i="5"/>
  <c r="G20" i="5"/>
  <c r="F20" i="5"/>
  <c r="E20" i="5"/>
  <c r="D20" i="5"/>
  <c r="F30" i="4"/>
  <c r="E30" i="4"/>
  <c r="D30" i="4"/>
  <c r="A30" i="4"/>
  <c r="E29" i="4"/>
  <c r="D29" i="4"/>
  <c r="F29" i="4" s="1"/>
  <c r="A29" i="4"/>
  <c r="E28" i="4"/>
  <c r="F28" i="4" s="1"/>
  <c r="D28" i="4"/>
  <c r="A28" i="4"/>
  <c r="E27" i="4"/>
  <c r="D27" i="4"/>
  <c r="F27" i="4" s="1"/>
  <c r="A27" i="4"/>
  <c r="E26" i="4"/>
  <c r="F26" i="4" s="1"/>
  <c r="D26" i="4"/>
  <c r="A26" i="4"/>
  <c r="E25" i="4"/>
  <c r="D25" i="4"/>
  <c r="F25" i="4" s="1"/>
  <c r="A25" i="4"/>
  <c r="E24" i="4"/>
  <c r="F24" i="4" s="1"/>
  <c r="D24" i="4"/>
  <c r="A24" i="4"/>
  <c r="E23" i="4"/>
  <c r="D23" i="4"/>
  <c r="F23" i="4" s="1"/>
  <c r="A23" i="4"/>
  <c r="E22" i="4"/>
  <c r="F22" i="4" s="1"/>
  <c r="D22" i="4"/>
  <c r="A22" i="4"/>
  <c r="E21" i="4"/>
  <c r="D21" i="4"/>
  <c r="F21" i="4" s="1"/>
  <c r="A21" i="4"/>
  <c r="E20" i="4"/>
  <c r="D20" i="4"/>
  <c r="I28" i="3"/>
  <c r="H28" i="3"/>
  <c r="G28" i="3"/>
  <c r="F28" i="3"/>
  <c r="E28" i="3"/>
  <c r="D28" i="3"/>
  <c r="A28" i="3"/>
  <c r="I27" i="3"/>
  <c r="H27" i="3"/>
  <c r="G27" i="3"/>
  <c r="F27" i="3"/>
  <c r="E27" i="3"/>
  <c r="D27" i="3"/>
  <c r="A27" i="3"/>
  <c r="H26" i="3"/>
  <c r="G26" i="3"/>
  <c r="F26" i="3"/>
  <c r="E26" i="3"/>
  <c r="D26" i="3"/>
  <c r="I26" i="3" s="1"/>
  <c r="A26" i="3"/>
  <c r="I25" i="3"/>
  <c r="H25" i="3"/>
  <c r="G25" i="3"/>
  <c r="F25" i="3"/>
  <c r="E25" i="3"/>
  <c r="D25" i="3"/>
  <c r="H24" i="3"/>
  <c r="G24" i="3"/>
  <c r="F24" i="3"/>
  <c r="E24" i="3"/>
  <c r="I24" i="3" s="1"/>
  <c r="D24" i="3"/>
  <c r="A24" i="3"/>
  <c r="H23" i="3"/>
  <c r="G23" i="3"/>
  <c r="F23" i="3"/>
  <c r="E23" i="3"/>
  <c r="D23" i="3"/>
  <c r="I23" i="3" s="1"/>
  <c r="A23" i="3"/>
  <c r="H22" i="3"/>
  <c r="G22" i="3"/>
  <c r="F22" i="3"/>
  <c r="E22" i="3"/>
  <c r="I22" i="3" s="1"/>
  <c r="D22" i="3"/>
  <c r="A22" i="3"/>
  <c r="H21" i="3"/>
  <c r="G21" i="3"/>
  <c r="F21" i="3"/>
  <c r="E21" i="3"/>
  <c r="D21" i="3"/>
  <c r="I21" i="3" s="1"/>
  <c r="A21" i="3"/>
  <c r="I20" i="3"/>
  <c r="H20" i="3"/>
  <c r="G20" i="3"/>
  <c r="F20" i="3"/>
  <c r="E20" i="3"/>
  <c r="D20" i="3"/>
  <c r="A20" i="3"/>
  <c r="H19" i="3"/>
  <c r="G19" i="3"/>
  <c r="F19" i="3"/>
  <c r="E19" i="3"/>
  <c r="D19" i="3"/>
  <c r="J31" i="2"/>
  <c r="I31" i="2"/>
  <c r="H31" i="2"/>
  <c r="G31" i="2"/>
  <c r="K31" i="2" s="1"/>
  <c r="F31" i="2"/>
  <c r="E31" i="2"/>
  <c r="D31" i="2"/>
  <c r="A31" i="2"/>
  <c r="J30" i="2"/>
  <c r="I30" i="2"/>
  <c r="H30" i="2"/>
  <c r="K30" i="2" s="1"/>
  <c r="G30" i="2"/>
  <c r="F30" i="2"/>
  <c r="E30" i="2"/>
  <c r="D30" i="2"/>
  <c r="A30" i="2"/>
  <c r="K29" i="2"/>
  <c r="J29" i="2"/>
  <c r="I29" i="2"/>
  <c r="H29" i="2"/>
  <c r="G29" i="2"/>
  <c r="F29" i="2"/>
  <c r="E29" i="2"/>
  <c r="D29" i="2"/>
  <c r="A29" i="2"/>
  <c r="J28" i="2"/>
  <c r="I28" i="2"/>
  <c r="H28" i="2"/>
  <c r="G28" i="2"/>
  <c r="F28" i="2"/>
  <c r="E28" i="2"/>
  <c r="D28" i="2"/>
  <c r="K28" i="2" s="1"/>
  <c r="A28" i="2"/>
  <c r="J27" i="2"/>
  <c r="I27" i="2"/>
  <c r="H27" i="2"/>
  <c r="G27" i="2"/>
  <c r="F27" i="2"/>
  <c r="E27" i="2"/>
  <c r="K27" i="2" s="1"/>
  <c r="D27" i="2"/>
  <c r="A27" i="2"/>
  <c r="J26" i="2"/>
  <c r="I26" i="2"/>
  <c r="H26" i="2"/>
  <c r="G26" i="2"/>
  <c r="F26" i="2"/>
  <c r="E26" i="2"/>
  <c r="D26" i="2"/>
  <c r="K26" i="2" s="1"/>
  <c r="A26" i="2"/>
  <c r="J25" i="2"/>
  <c r="I25" i="2"/>
  <c r="H25" i="2"/>
  <c r="G25" i="2"/>
  <c r="F25" i="2"/>
  <c r="E25" i="2"/>
  <c r="K25" i="2" s="1"/>
  <c r="D25" i="2"/>
  <c r="A25" i="2"/>
  <c r="J24" i="2"/>
  <c r="I24" i="2"/>
  <c r="H24" i="2"/>
  <c r="G24" i="2"/>
  <c r="F24" i="2"/>
  <c r="E24" i="2"/>
  <c r="D24" i="2"/>
  <c r="K24" i="2" s="1"/>
  <c r="A24" i="2"/>
  <c r="J23" i="2"/>
  <c r="I23" i="2"/>
  <c r="H23" i="2"/>
  <c r="G23" i="2"/>
  <c r="K23" i="2" s="1"/>
  <c r="F23" i="2"/>
  <c r="E23" i="2"/>
  <c r="D23" i="2"/>
  <c r="A23" i="2"/>
  <c r="J22" i="2"/>
  <c r="I22" i="2"/>
  <c r="H22" i="2"/>
  <c r="K22" i="2" s="1"/>
  <c r="G22" i="2"/>
  <c r="F22" i="2"/>
  <c r="E22" i="2"/>
  <c r="D22" i="2"/>
  <c r="A22" i="2"/>
  <c r="K21" i="2"/>
  <c r="J21" i="2"/>
  <c r="I21" i="2"/>
  <c r="H21" i="2"/>
  <c r="G21" i="2"/>
  <c r="F21" i="2"/>
  <c r="E21" i="2"/>
  <c r="D21" i="2"/>
  <c r="A21" i="2"/>
  <c r="J20" i="2"/>
  <c r="I20" i="2"/>
  <c r="H20" i="2"/>
  <c r="G20" i="2"/>
  <c r="F20" i="2"/>
  <c r="E20" i="2"/>
  <c r="D20" i="2"/>
  <c r="H28" i="1"/>
  <c r="G28" i="1"/>
  <c r="F28" i="1"/>
  <c r="E28" i="1"/>
  <c r="D28" i="1"/>
  <c r="A28" i="1"/>
  <c r="H27" i="1"/>
  <c r="G27" i="1"/>
  <c r="F27" i="1"/>
  <c r="E27" i="1"/>
  <c r="D27" i="1"/>
  <c r="A27" i="1"/>
  <c r="F26" i="1"/>
  <c r="E26" i="1"/>
  <c r="D26" i="1"/>
  <c r="H26" i="1" s="1"/>
  <c r="A26" i="1"/>
  <c r="F25" i="1"/>
  <c r="E25" i="1"/>
  <c r="D25" i="1"/>
  <c r="A25" i="1"/>
  <c r="F24" i="1"/>
  <c r="E24" i="1"/>
  <c r="D24" i="1"/>
  <c r="A24" i="1"/>
  <c r="F23" i="1"/>
  <c r="E23" i="1"/>
  <c r="D23" i="1"/>
  <c r="A23" i="1"/>
  <c r="F22" i="1"/>
  <c r="E22" i="1"/>
  <c r="D22" i="1"/>
  <c r="A22" i="1"/>
  <c r="F21" i="1"/>
  <c r="E21" i="1"/>
  <c r="D21" i="1"/>
  <c r="A21" i="1"/>
  <c r="F20" i="1"/>
  <c r="E20" i="1"/>
  <c r="D20" i="1"/>
  <c r="A20" i="1"/>
  <c r="G19" i="1"/>
  <c r="F19" i="1"/>
  <c r="E19" i="1"/>
  <c r="D19" i="1"/>
  <c r="G7" i="1"/>
  <c r="G26" i="1" s="1"/>
  <c r="I26" i="11"/>
  <c r="H26" i="11"/>
  <c r="G26" i="11"/>
  <c r="F26" i="11"/>
  <c r="E26" i="11"/>
  <c r="D26" i="11"/>
  <c r="A26" i="11"/>
  <c r="I25" i="11"/>
  <c r="H25" i="11"/>
  <c r="G25" i="11"/>
  <c r="F25" i="11"/>
  <c r="E25" i="11"/>
  <c r="D25" i="11"/>
  <c r="A25" i="11"/>
  <c r="H24" i="11"/>
  <c r="G24" i="11"/>
  <c r="F24" i="11"/>
  <c r="E24" i="11"/>
  <c r="D24" i="11"/>
  <c r="I24" i="11" s="1"/>
  <c r="A24" i="11"/>
  <c r="I23" i="11"/>
  <c r="H23" i="11"/>
  <c r="G23" i="11"/>
  <c r="F23" i="11"/>
  <c r="E23" i="11"/>
  <c r="D23" i="11"/>
  <c r="A23" i="11"/>
  <c r="H22" i="11"/>
  <c r="G22" i="11"/>
  <c r="F22" i="11"/>
  <c r="I22" i="11" s="1"/>
  <c r="E22" i="11"/>
  <c r="D22" i="11"/>
  <c r="A22" i="11"/>
  <c r="H21" i="11"/>
  <c r="G21" i="11"/>
  <c r="F21" i="11"/>
  <c r="E21" i="11"/>
  <c r="I21" i="11" s="1"/>
  <c r="D21" i="11"/>
  <c r="A21" i="11"/>
  <c r="H20" i="11"/>
  <c r="G20" i="11"/>
  <c r="F20" i="11"/>
  <c r="E20" i="11"/>
  <c r="D20" i="11"/>
  <c r="I20" i="11" s="1"/>
  <c r="A20" i="11"/>
  <c r="H19" i="11"/>
  <c r="G19" i="11"/>
  <c r="F19" i="11"/>
  <c r="E19" i="11"/>
  <c r="I19" i="11" s="1"/>
  <c r="D19" i="11"/>
  <c r="A19" i="11"/>
  <c r="H18" i="11"/>
  <c r="G18" i="11"/>
  <c r="F18" i="11"/>
  <c r="E18" i="11"/>
  <c r="D18" i="11"/>
  <c r="G21" i="1" l="1"/>
  <c r="H21" i="1" s="1"/>
  <c r="G25" i="1"/>
  <c r="H25" i="1" s="1"/>
  <c r="G20" i="1"/>
  <c r="H20" i="1" s="1"/>
  <c r="G24" i="1"/>
  <c r="H24" i="1" s="1"/>
  <c r="G23" i="1"/>
  <c r="H23" i="1" s="1"/>
  <c r="G22" i="1"/>
  <c r="H22" i="1" s="1"/>
</calcChain>
</file>

<file path=xl/sharedStrings.xml><?xml version="1.0" encoding="utf-8"?>
<sst xmlns="http://schemas.openxmlformats.org/spreadsheetml/2006/main" count="414" uniqueCount="73">
  <si>
    <t>Scrutin</t>
  </si>
  <si>
    <t>Législatives 2012 — Premier tour</t>
  </si>
  <si>
    <t>Date du scrutin</t>
  </si>
  <si>
    <t>Seuil de prise en compte</t>
  </si>
  <si>
    <t>5%</t>
  </si>
  <si>
    <t>Poids du scrutin dans le rating</t>
  </si>
  <si>
    <t>Institut</t>
  </si>
  <si>
    <t>Date</t>
  </si>
  <si>
    <t>Échantillon</t>
  </si>
  <si>
    <t>Front de Gauche</t>
  </si>
  <si>
    <t>EELV</t>
  </si>
  <si>
    <t>PS</t>
  </si>
  <si>
    <t>UMP</t>
  </si>
  <si>
    <t>FN</t>
  </si>
  <si>
    <t>RÉSULTAT RÉEL</t>
  </si>
  <si>
    <t>—</t>
  </si>
  <si>
    <t>Ifop</t>
  </si>
  <si>
    <t>Ipsos</t>
  </si>
  <si>
    <t>CSA</t>
  </si>
  <si>
    <t>Harris Interactive</t>
  </si>
  <si>
    <t>OpinionWay</t>
  </si>
  <si>
    <t>BVA</t>
  </si>
  <si>
    <t>ÉCARTS ABSOLUS</t>
  </si>
  <si>
    <t>Erreur moy.</t>
  </si>
  <si>
    <t>Légende</t>
  </si>
  <si>
    <t>■ Bleu : cellules à remplir</t>
  </si>
  <si>
    <t>■ Vert : résultat réel</t>
  </si>
  <si>
    <t>■ Jaune : calculé automatiquement</t>
  </si>
  <si>
    <t>Scores en % — ne saisir que les candidats au-dessus du seuil</t>
  </si>
  <si>
    <t>Législatives 2024 — Premier tour</t>
  </si>
  <si>
    <t>NFP</t>
  </si>
  <si>
    <t>Ensemble</t>
  </si>
  <si>
    <t>LR</t>
  </si>
  <si>
    <t>RN+UDR</t>
  </si>
  <si>
    <t>Elabe</t>
  </si>
  <si>
    <t>Odoxa</t>
  </si>
  <si>
    <t>Cluster17</t>
  </si>
  <si>
    <t>Européennes 2024</t>
  </si>
  <si>
    <t>3%</t>
  </si>
  <si>
    <t>LFI</t>
  </si>
  <si>
    <t>PS-PP</t>
  </si>
  <si>
    <t>Reconquête</t>
  </si>
  <si>
    <t>RN</t>
  </si>
  <si>
    <t>YouGov</t>
  </si>
  <si>
    <t>Viavoice</t>
  </si>
  <si>
    <t>Législatives 2022 — Premier tour</t>
  </si>
  <si>
    <t>NUPES</t>
  </si>
  <si>
    <t>Yougov</t>
  </si>
  <si>
    <t>Présidentielle 2022 — Second tour</t>
  </si>
  <si>
    <t>Macron</t>
  </si>
  <si>
    <t>Le Pen</t>
  </si>
  <si>
    <t>Kantar</t>
  </si>
  <si>
    <t>Présidentielle 2022 — Premier tour</t>
  </si>
  <si>
    <t>10/04/2022</t>
  </si>
  <si>
    <t>Mélenchon</t>
  </si>
  <si>
    <t>Pécresse</t>
  </si>
  <si>
    <t>Zemmour</t>
  </si>
  <si>
    <t>Européennes 2019</t>
  </si>
  <si>
    <t>Echantillon</t>
  </si>
  <si>
    <t>LREM</t>
  </si>
  <si>
    <t>08/062017</t>
  </si>
  <si>
    <t>Présidentielle 2017 — Second tour</t>
  </si>
  <si>
    <t>Présidentielle 2017— Premier tour</t>
  </si>
  <si>
    <t>Hamon</t>
  </si>
  <si>
    <t>Fillon</t>
  </si>
  <si>
    <t>Dupont-Aignan</t>
  </si>
  <si>
    <t>Européennes 2014</t>
  </si>
  <si>
    <t>Modem</t>
  </si>
  <si>
    <t>Présidentielle 2012 — Second tour</t>
  </si>
  <si>
    <t>Hollande</t>
  </si>
  <si>
    <t>Sarkozy</t>
  </si>
  <si>
    <t>Présidentielle 2012— Premier tour</t>
  </si>
  <si>
    <t>Bayrou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</si>
</sst>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006600"/>
      <name val="Arial"/>
      <family val="2"/>
    </font>
    <font>
      <b/>
      <sz val="12"/>
      <color rgb="FFC0392B"/>
      <name val="Arial"/>
      <family val="2"/>
    </font>
    <font>
      <sz val="9"/>
      <color rgb="FF3498DB"/>
      <name val="Arial"/>
      <family val="2"/>
    </font>
    <font>
      <sz val="9"/>
      <color rgb="FF27AE60"/>
      <name val="Arial"/>
      <family val="2"/>
    </font>
    <font>
      <sz val="9"/>
      <color rgb="FFF39C12"/>
      <name val="Arial"/>
      <family val="2"/>
    </font>
    <font>
      <i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BF5FB"/>
        <bgColor rgb="FFE8F8E8"/>
      </patternFill>
    </fill>
    <fill>
      <patternFill patternType="solid">
        <fgColor rgb="FF2C3E50"/>
        <bgColor rgb="FF333399"/>
      </patternFill>
    </fill>
    <fill>
      <patternFill patternType="solid">
        <fgColor rgb="FFE8F8E8"/>
        <bgColor rgb="FFEBF5FB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2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6" fillId="0" borderId="0" xfId="0" applyFont="1"/>
    <xf numFmtId="2" fontId="0" fillId="5" borderId="1" xfId="0" applyNumberForma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2" borderId="0" xfId="0" applyFont="1" applyFill="1"/>
    <xf numFmtId="14" fontId="3" fillId="2" borderId="0" xfId="0" applyNumberFormat="1" applyFont="1" applyFill="1"/>
    <xf numFmtId="14" fontId="0" fillId="2" borderId="1" xfId="0" applyNumberForma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" fillId="0" borderId="1" xfId="0" applyFont="1" applyBorder="1"/>
    <xf numFmtId="14" fontId="3" fillId="2" borderId="0" xfId="0" applyNumberFormat="1" applyFont="1" applyFill="1" applyAlignment="1">
      <alignment horizontal="right"/>
    </xf>
    <xf numFmtId="164" fontId="4" fillId="3" borderId="1" xfId="0" applyNumberFormat="1" applyFont="1" applyFill="1" applyBorder="1" applyAlignment="1">
      <alignment horizontal="center"/>
    </xf>
    <xf numFmtId="9" fontId="3" fillId="2" borderId="0" xfId="0" applyNumberFormat="1" applyFont="1" applyFill="1"/>
    <xf numFmtId="1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9E6"/>
      <rgbColor rgb="FFE8F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FF6600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zoomScaleNormal="100" workbookViewId="0">
      <selection activeCell="B8" sqref="B8"/>
    </sheetView>
  </sheetViews>
  <sheetFormatPr baseColWidth="10" defaultColWidth="8.6640625" defaultRowHeight="15" x14ac:dyDescent="0.2"/>
  <cols>
    <col min="1" max="1" width="44" bestFit="1" customWidth="1"/>
    <col min="2" max="8" width="14" customWidth="1"/>
  </cols>
  <sheetData>
    <row r="1" spans="1:7" x14ac:dyDescent="0.2">
      <c r="A1" s="1" t="s">
        <v>0</v>
      </c>
      <c r="B1" s="17" t="s">
        <v>29</v>
      </c>
    </row>
    <row r="2" spans="1:7" x14ac:dyDescent="0.2">
      <c r="A2" s="1" t="s">
        <v>2</v>
      </c>
      <c r="B2" s="18">
        <v>45473</v>
      </c>
    </row>
    <row r="3" spans="1:7" x14ac:dyDescent="0.2">
      <c r="A3" s="1" t="s">
        <v>3</v>
      </c>
      <c r="B3" s="2" t="s">
        <v>4</v>
      </c>
    </row>
    <row r="4" spans="1:7" x14ac:dyDescent="0.2">
      <c r="A4" s="1" t="s">
        <v>5</v>
      </c>
      <c r="B4" s="2">
        <v>0.5</v>
      </c>
    </row>
    <row r="6" spans="1:7" x14ac:dyDescent="0.2">
      <c r="A6" s="3" t="s">
        <v>6</v>
      </c>
      <c r="B6" s="3" t="s">
        <v>7</v>
      </c>
      <c r="C6" s="3" t="s">
        <v>8</v>
      </c>
      <c r="D6" s="3" t="s">
        <v>30</v>
      </c>
      <c r="E6" s="3" t="s">
        <v>31</v>
      </c>
      <c r="F6" s="3" t="s">
        <v>32</v>
      </c>
      <c r="G6" s="3" t="s">
        <v>33</v>
      </c>
    </row>
    <row r="7" spans="1:7" x14ac:dyDescent="0.2">
      <c r="A7" s="4" t="s">
        <v>14</v>
      </c>
      <c r="B7" s="20">
        <v>45473</v>
      </c>
      <c r="C7" s="5" t="s">
        <v>15</v>
      </c>
      <c r="D7" s="6">
        <v>28.06</v>
      </c>
      <c r="E7" s="6">
        <v>20.04</v>
      </c>
      <c r="F7" s="6">
        <v>6.57</v>
      </c>
      <c r="G7" s="6">
        <f>29.26+3.96</f>
        <v>33.22</v>
      </c>
    </row>
    <row r="8" spans="1:7" x14ac:dyDescent="0.2">
      <c r="A8" s="7" t="s">
        <v>16</v>
      </c>
      <c r="B8" s="19">
        <v>45471</v>
      </c>
      <c r="C8" s="9">
        <v>2824</v>
      </c>
      <c r="D8" s="8">
        <v>29</v>
      </c>
      <c r="E8" s="8">
        <v>20.5</v>
      </c>
      <c r="F8" s="8">
        <v>7</v>
      </c>
      <c r="G8" s="8">
        <v>36.5</v>
      </c>
    </row>
    <row r="9" spans="1:7" x14ac:dyDescent="0.2">
      <c r="A9" s="7" t="s">
        <v>17</v>
      </c>
      <c r="B9" s="19">
        <v>45471</v>
      </c>
      <c r="C9" s="9">
        <v>10286</v>
      </c>
      <c r="D9" s="8">
        <v>29</v>
      </c>
      <c r="E9" s="8">
        <v>20</v>
      </c>
      <c r="F9" s="8">
        <v>8</v>
      </c>
      <c r="G9" s="8">
        <v>36</v>
      </c>
    </row>
    <row r="10" spans="1:7" x14ac:dyDescent="0.2">
      <c r="A10" s="7" t="s">
        <v>34</v>
      </c>
      <c r="B10" s="19">
        <v>45470</v>
      </c>
      <c r="C10" s="9">
        <v>2004</v>
      </c>
      <c r="D10" s="8">
        <v>27.5</v>
      </c>
      <c r="E10" s="8">
        <v>20</v>
      </c>
      <c r="F10" s="8">
        <v>9</v>
      </c>
      <c r="G10" s="8">
        <v>36</v>
      </c>
    </row>
    <row r="11" spans="1:7" x14ac:dyDescent="0.2">
      <c r="A11" s="7" t="s">
        <v>19</v>
      </c>
      <c r="B11" s="19">
        <v>45471</v>
      </c>
      <c r="C11" s="9">
        <v>2443</v>
      </c>
      <c r="D11" s="8">
        <v>28</v>
      </c>
      <c r="E11" s="8">
        <v>20</v>
      </c>
      <c r="F11" s="8">
        <v>6</v>
      </c>
      <c r="G11" s="8">
        <v>37</v>
      </c>
    </row>
    <row r="12" spans="1:7" x14ac:dyDescent="0.2">
      <c r="A12" s="7" t="s">
        <v>20</v>
      </c>
      <c r="B12" s="19">
        <v>45467</v>
      </c>
      <c r="C12" s="9">
        <v>3040</v>
      </c>
      <c r="D12" s="8">
        <v>28</v>
      </c>
      <c r="E12" s="8">
        <v>19</v>
      </c>
      <c r="F12" s="8">
        <v>7</v>
      </c>
      <c r="G12" s="8">
        <v>36</v>
      </c>
    </row>
    <row r="13" spans="1:7" x14ac:dyDescent="0.2">
      <c r="A13" s="7" t="s">
        <v>35</v>
      </c>
      <c r="B13" s="19">
        <v>45471</v>
      </c>
      <c r="C13" s="9">
        <v>2005</v>
      </c>
      <c r="D13" s="8">
        <v>27.5</v>
      </c>
      <c r="E13" s="8">
        <v>21</v>
      </c>
      <c r="F13" s="8">
        <v>7</v>
      </c>
      <c r="G13" s="8">
        <v>35</v>
      </c>
    </row>
    <row r="14" spans="1:7" x14ac:dyDescent="0.2">
      <c r="A14" s="7" t="s">
        <v>36</v>
      </c>
      <c r="B14" s="19">
        <v>45470</v>
      </c>
      <c r="C14" s="9">
        <v>2500</v>
      </c>
      <c r="D14" s="8">
        <v>29.5</v>
      </c>
      <c r="E14" s="8">
        <v>20</v>
      </c>
      <c r="F14" s="8">
        <v>7.5</v>
      </c>
      <c r="G14" s="8">
        <v>35</v>
      </c>
    </row>
    <row r="15" spans="1:7" x14ac:dyDescent="0.2">
      <c r="A15" s="7"/>
      <c r="B15" s="19"/>
      <c r="C15" s="9"/>
      <c r="D15" s="8"/>
      <c r="E15" s="8"/>
      <c r="F15" s="8"/>
      <c r="G15" s="8"/>
    </row>
    <row r="16" spans="1:7" x14ac:dyDescent="0.2">
      <c r="A16" s="7"/>
      <c r="B16" s="19"/>
      <c r="C16" s="9"/>
      <c r="D16" s="8"/>
      <c r="E16" s="8"/>
      <c r="F16" s="8"/>
      <c r="G16" s="8"/>
    </row>
    <row r="18" spans="1:8" ht="16" customHeight="1" x14ac:dyDescent="0.2">
      <c r="A18" s="10" t="s">
        <v>22</v>
      </c>
    </row>
    <row r="19" spans="1:8" x14ac:dyDescent="0.2">
      <c r="A19" s="3" t="s">
        <v>6</v>
      </c>
      <c r="B19" s="3"/>
      <c r="C19" s="3"/>
      <c r="D19" s="3" t="str">
        <f>D6</f>
        <v>NFP</v>
      </c>
      <c r="E19" s="3" t="str">
        <f>E6</f>
        <v>Ensemble</v>
      </c>
      <c r="F19" s="3" t="str">
        <f>F6</f>
        <v>LR</v>
      </c>
      <c r="G19" s="3" t="str">
        <f>G6</f>
        <v>RN+UDR</v>
      </c>
      <c r="H19" s="3" t="s">
        <v>23</v>
      </c>
    </row>
    <row r="20" spans="1:8" x14ac:dyDescent="0.2">
      <c r="A20" s="7" t="str">
        <f t="shared" ref="A20:A28" si="0">A8</f>
        <v>Ifop</v>
      </c>
      <c r="D20" s="11">
        <f>IF(D8="","",ABS(D8-D7))</f>
        <v>0.94000000000000128</v>
      </c>
      <c r="E20" s="11">
        <f>IF(E8="","",ABS(E8-E7))</f>
        <v>0.46000000000000085</v>
      </c>
      <c r="F20" s="11">
        <f>IF(F8="","",ABS(F8-F7))</f>
        <v>0.42999999999999972</v>
      </c>
      <c r="G20" s="11">
        <f>IF(G8="","",ABS(G8-G7))</f>
        <v>3.2800000000000011</v>
      </c>
      <c r="H20" s="12">
        <f t="shared" ref="H20:H28" si="1">IF(COUNTA(D8:G8)=0,"",AVERAGE(D20:G20))</f>
        <v>1.2775000000000007</v>
      </c>
    </row>
    <row r="21" spans="1:8" x14ac:dyDescent="0.2">
      <c r="A21" s="7" t="str">
        <f t="shared" si="0"/>
        <v>Ipsos</v>
      </c>
      <c r="D21" s="11">
        <f>IF(D9="","",ABS(D9-D7))</f>
        <v>0.94000000000000128</v>
      </c>
      <c r="E21" s="11">
        <f>IF(E9="","",ABS(E9-E7))</f>
        <v>3.9999999999999147E-2</v>
      </c>
      <c r="F21" s="11">
        <f>IF(F9="","",ABS(F9-F7))</f>
        <v>1.4299999999999997</v>
      </c>
      <c r="G21" s="11">
        <f>IF(G9="","",ABS(G9-G7))</f>
        <v>2.7800000000000011</v>
      </c>
      <c r="H21" s="12">
        <f t="shared" si="1"/>
        <v>1.2975000000000003</v>
      </c>
    </row>
    <row r="22" spans="1:8" x14ac:dyDescent="0.2">
      <c r="A22" s="7" t="str">
        <f t="shared" si="0"/>
        <v>Elabe</v>
      </c>
      <c r="D22" s="11">
        <f>IF(D10="","",ABS(D10-D7))</f>
        <v>0.55999999999999872</v>
      </c>
      <c r="E22" s="11">
        <f>IF(E10="","",ABS(E10-E7))</f>
        <v>3.9999999999999147E-2</v>
      </c>
      <c r="F22" s="11">
        <f>IF(F10="","",ABS(F10-F7))</f>
        <v>2.4299999999999997</v>
      </c>
      <c r="G22" s="11">
        <f>IF(G10="","",ABS(G10-G7))</f>
        <v>2.7800000000000011</v>
      </c>
      <c r="H22" s="12">
        <f t="shared" si="1"/>
        <v>1.4524999999999997</v>
      </c>
    </row>
    <row r="23" spans="1:8" x14ac:dyDescent="0.2">
      <c r="A23" s="7" t="str">
        <f t="shared" si="0"/>
        <v>Harris Interactive</v>
      </c>
      <c r="D23" s="11">
        <f>IF(D11="","",ABS(D11-D7))</f>
        <v>5.9999999999998721E-2</v>
      </c>
      <c r="E23" s="11">
        <f>IF(E11="","",ABS(E11-E7))</f>
        <v>3.9999999999999147E-2</v>
      </c>
      <c r="F23" s="11">
        <f>IF(F11="","",ABS(F11-F7))</f>
        <v>0.57000000000000028</v>
      </c>
      <c r="G23" s="11">
        <f>IF(G11="","",ABS(G11-G7))</f>
        <v>3.7800000000000011</v>
      </c>
      <c r="H23" s="12">
        <f t="shared" si="1"/>
        <v>1.1124999999999998</v>
      </c>
    </row>
    <row r="24" spans="1:8" x14ac:dyDescent="0.2">
      <c r="A24" s="7" t="str">
        <f t="shared" si="0"/>
        <v>OpinionWay</v>
      </c>
      <c r="D24" s="11">
        <f>IF(D12="","",ABS(D12-D7))</f>
        <v>5.9999999999998721E-2</v>
      </c>
      <c r="E24" s="11">
        <f>IF(E12="","",ABS(E12-E7))</f>
        <v>1.0399999999999991</v>
      </c>
      <c r="F24" s="11">
        <f>IF(F12="","",ABS(F12-F7))</f>
        <v>0.42999999999999972</v>
      </c>
      <c r="G24" s="11">
        <f>IF(G12="","",ABS(G12-G7))</f>
        <v>2.7800000000000011</v>
      </c>
      <c r="H24" s="12">
        <f t="shared" si="1"/>
        <v>1.0774999999999997</v>
      </c>
    </row>
    <row r="25" spans="1:8" x14ac:dyDescent="0.2">
      <c r="A25" s="7" t="str">
        <f t="shared" si="0"/>
        <v>Odoxa</v>
      </c>
      <c r="D25" s="11">
        <f>IF(D13="","",ABS(D13-D7))</f>
        <v>0.55999999999999872</v>
      </c>
      <c r="E25" s="11">
        <f>IF(E13="","",ABS(E13-E7))</f>
        <v>0.96000000000000085</v>
      </c>
      <c r="F25" s="11">
        <f>IF(F13="","",ABS(F13-F7))</f>
        <v>0.42999999999999972</v>
      </c>
      <c r="G25" s="11">
        <f>IF(G13="","",ABS(G13-G7))</f>
        <v>1.7800000000000011</v>
      </c>
      <c r="H25" s="12">
        <f t="shared" si="1"/>
        <v>0.93250000000000011</v>
      </c>
    </row>
    <row r="26" spans="1:8" x14ac:dyDescent="0.2">
      <c r="A26" s="7" t="str">
        <f t="shared" si="0"/>
        <v>Cluster17</v>
      </c>
      <c r="D26" s="11">
        <f>IF(D14="","",ABS(D14-D7))</f>
        <v>1.4400000000000013</v>
      </c>
      <c r="E26" s="11">
        <f>IF(E14="","",ABS(E14-E7))</f>
        <v>3.9999999999999147E-2</v>
      </c>
      <c r="F26" s="11">
        <f>IF(F14="","",ABS(F14-F7))</f>
        <v>0.92999999999999972</v>
      </c>
      <c r="G26" s="11">
        <f>IF(G14="","",ABS(G14-G7))</f>
        <v>1.7800000000000011</v>
      </c>
      <c r="H26" s="12">
        <f t="shared" si="1"/>
        <v>1.0475000000000003</v>
      </c>
    </row>
    <row r="27" spans="1:8" x14ac:dyDescent="0.2">
      <c r="A27" s="7">
        <f t="shared" si="0"/>
        <v>0</v>
      </c>
      <c r="D27" s="11" t="str">
        <f>IF(D15="","",ABS(D15-D7))</f>
        <v/>
      </c>
      <c r="E27" s="11" t="str">
        <f>IF(E15="","",ABS(E15-E7))</f>
        <v/>
      </c>
      <c r="F27" s="11" t="str">
        <f>IF(F15="","",ABS(F15-F7))</f>
        <v/>
      </c>
      <c r="G27" s="11" t="str">
        <f>IF(G15="","",ABS(G15-G7))</f>
        <v/>
      </c>
      <c r="H27" s="12" t="str">
        <f t="shared" si="1"/>
        <v/>
      </c>
    </row>
    <row r="28" spans="1:8" x14ac:dyDescent="0.2">
      <c r="A28" s="7">
        <f t="shared" si="0"/>
        <v>0</v>
      </c>
      <c r="D28" s="11" t="str">
        <f>IF(D16="","",ABS(D16-D7))</f>
        <v/>
      </c>
      <c r="E28" s="11" t="str">
        <f>IF(E16="","",ABS(E16-E7))</f>
        <v/>
      </c>
      <c r="F28" s="11" t="str">
        <f>IF(F16="","",ABS(F16-F7))</f>
        <v/>
      </c>
      <c r="G28" s="11" t="str">
        <f>IF(G16="","",ABS(G16-G7))</f>
        <v/>
      </c>
      <c r="H28" s="12" t="str">
        <f t="shared" si="1"/>
        <v/>
      </c>
    </row>
    <row r="30" spans="1:8" x14ac:dyDescent="0.2">
      <c r="A30" s="1" t="s">
        <v>24</v>
      </c>
    </row>
    <row r="31" spans="1:8" x14ac:dyDescent="0.2">
      <c r="A31" s="13" t="s">
        <v>25</v>
      </c>
    </row>
    <row r="32" spans="1:8" x14ac:dyDescent="0.2">
      <c r="A32" s="14" t="s">
        <v>26</v>
      </c>
    </row>
    <row r="33" spans="1:1" x14ac:dyDescent="0.2">
      <c r="A33" s="15" t="s">
        <v>27</v>
      </c>
    </row>
    <row r="34" spans="1:1" x14ac:dyDescent="0.2">
      <c r="A34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zoomScaleNormal="100" workbookViewId="0">
      <selection activeCell="I21" sqref="I21"/>
    </sheetView>
  </sheetViews>
  <sheetFormatPr baseColWidth="10" defaultColWidth="8.6640625" defaultRowHeight="15" x14ac:dyDescent="0.2"/>
  <cols>
    <col min="1" max="1" width="44" bestFit="1" customWidth="1"/>
    <col min="2" max="11" width="14" customWidth="1"/>
  </cols>
  <sheetData>
    <row r="1" spans="1:10" x14ac:dyDescent="0.2">
      <c r="A1" s="1" t="s">
        <v>0</v>
      </c>
      <c r="B1" s="17" t="s">
        <v>37</v>
      </c>
    </row>
    <row r="2" spans="1:10" x14ac:dyDescent="0.2">
      <c r="A2" s="1" t="s">
        <v>2</v>
      </c>
      <c r="B2" s="18">
        <v>45452</v>
      </c>
    </row>
    <row r="3" spans="1:10" x14ac:dyDescent="0.2">
      <c r="A3" s="1" t="s">
        <v>3</v>
      </c>
      <c r="B3" s="2" t="s">
        <v>38</v>
      </c>
    </row>
    <row r="4" spans="1:10" x14ac:dyDescent="0.2">
      <c r="A4" s="1" t="s">
        <v>5</v>
      </c>
      <c r="B4" s="2">
        <v>1</v>
      </c>
    </row>
    <row r="6" spans="1:10" x14ac:dyDescent="0.2">
      <c r="A6" s="3" t="s">
        <v>6</v>
      </c>
      <c r="B6" s="3" t="s">
        <v>7</v>
      </c>
      <c r="C6" s="3" t="s">
        <v>8</v>
      </c>
      <c r="D6" s="3" t="s">
        <v>39</v>
      </c>
      <c r="E6" s="3" t="s">
        <v>40</v>
      </c>
      <c r="F6" s="3" t="s">
        <v>10</v>
      </c>
      <c r="G6" s="3" t="s">
        <v>31</v>
      </c>
      <c r="H6" s="3" t="s">
        <v>32</v>
      </c>
      <c r="I6" s="3" t="s">
        <v>41</v>
      </c>
      <c r="J6" s="3" t="s">
        <v>42</v>
      </c>
    </row>
    <row r="7" spans="1:10" x14ac:dyDescent="0.2">
      <c r="A7" s="4" t="s">
        <v>14</v>
      </c>
      <c r="B7" s="20">
        <v>45452</v>
      </c>
      <c r="C7" s="5" t="s">
        <v>15</v>
      </c>
      <c r="D7" s="6">
        <v>9.89</v>
      </c>
      <c r="E7" s="6">
        <v>13.83</v>
      </c>
      <c r="F7" s="6">
        <v>5.5</v>
      </c>
      <c r="G7" s="6">
        <v>14.6</v>
      </c>
      <c r="H7" s="6">
        <v>7.25</v>
      </c>
      <c r="I7" s="6">
        <v>5.47</v>
      </c>
      <c r="J7" s="6">
        <v>31.37</v>
      </c>
    </row>
    <row r="8" spans="1:10" x14ac:dyDescent="0.2">
      <c r="A8" s="7" t="s">
        <v>16</v>
      </c>
      <c r="B8" s="19">
        <v>45450</v>
      </c>
      <c r="C8" s="9">
        <v>2725</v>
      </c>
      <c r="D8" s="8">
        <v>9</v>
      </c>
      <c r="E8" s="8">
        <v>13</v>
      </c>
      <c r="F8" s="8">
        <v>5.5</v>
      </c>
      <c r="G8" s="8">
        <v>14.5</v>
      </c>
      <c r="H8" s="8">
        <v>7</v>
      </c>
      <c r="I8" s="8">
        <v>6</v>
      </c>
      <c r="J8" s="8">
        <v>33</v>
      </c>
    </row>
    <row r="9" spans="1:10" x14ac:dyDescent="0.2">
      <c r="A9" s="7" t="s">
        <v>17</v>
      </c>
      <c r="B9" s="19">
        <v>45450</v>
      </c>
      <c r="C9" s="9">
        <v>8923</v>
      </c>
      <c r="D9" s="8">
        <v>9.5</v>
      </c>
      <c r="E9" s="8">
        <v>14.5</v>
      </c>
      <c r="F9" s="8">
        <v>5</v>
      </c>
      <c r="G9" s="8">
        <v>15</v>
      </c>
      <c r="H9" s="8">
        <v>7</v>
      </c>
      <c r="I9" s="8">
        <v>5.5</v>
      </c>
      <c r="J9" s="8">
        <v>32</v>
      </c>
    </row>
    <row r="10" spans="1:10" x14ac:dyDescent="0.2">
      <c r="A10" s="7" t="s">
        <v>34</v>
      </c>
      <c r="B10" s="19">
        <v>45450</v>
      </c>
      <c r="C10" s="9">
        <v>1874</v>
      </c>
      <c r="D10" s="8">
        <v>9.5</v>
      </c>
      <c r="E10" s="8">
        <v>14.5</v>
      </c>
      <c r="F10" s="8">
        <v>5.5</v>
      </c>
      <c r="G10" s="8">
        <v>16</v>
      </c>
      <c r="H10" s="8">
        <v>6</v>
      </c>
      <c r="I10" s="8">
        <v>5.5</v>
      </c>
      <c r="J10" s="8">
        <v>32</v>
      </c>
    </row>
    <row r="11" spans="1:10" x14ac:dyDescent="0.2">
      <c r="A11" s="7" t="s">
        <v>19</v>
      </c>
      <c r="B11" s="19">
        <v>45450</v>
      </c>
      <c r="C11" s="9">
        <v>2356</v>
      </c>
      <c r="D11" s="8">
        <v>9.5</v>
      </c>
      <c r="E11" s="8">
        <v>13</v>
      </c>
      <c r="F11" s="8">
        <v>5</v>
      </c>
      <c r="G11" s="8">
        <v>14</v>
      </c>
      <c r="H11" s="8">
        <v>7.5</v>
      </c>
      <c r="I11" s="8">
        <v>5</v>
      </c>
      <c r="J11" s="8">
        <v>32</v>
      </c>
    </row>
    <row r="12" spans="1:10" x14ac:dyDescent="0.2">
      <c r="A12" s="7" t="s">
        <v>20</v>
      </c>
      <c r="B12" s="19">
        <v>45449</v>
      </c>
      <c r="C12" s="9">
        <v>2182</v>
      </c>
      <c r="D12" s="8">
        <v>8</v>
      </c>
      <c r="E12" s="8">
        <v>14</v>
      </c>
      <c r="F12" s="8">
        <v>5</v>
      </c>
      <c r="G12" s="8">
        <v>15</v>
      </c>
      <c r="H12" s="8">
        <v>6</v>
      </c>
      <c r="I12" s="8">
        <v>6</v>
      </c>
      <c r="J12" s="8">
        <v>33</v>
      </c>
    </row>
    <row r="13" spans="1:10" x14ac:dyDescent="0.2">
      <c r="A13" s="21" t="s">
        <v>35</v>
      </c>
      <c r="B13" s="19">
        <v>45449</v>
      </c>
      <c r="C13" s="9">
        <v>1808</v>
      </c>
      <c r="D13" s="8">
        <v>7</v>
      </c>
      <c r="E13" s="8">
        <v>14</v>
      </c>
      <c r="F13" s="8">
        <v>5</v>
      </c>
      <c r="G13" s="8">
        <v>15</v>
      </c>
      <c r="H13" s="8">
        <v>7</v>
      </c>
      <c r="I13" s="8">
        <v>6</v>
      </c>
      <c r="J13" s="8">
        <v>32</v>
      </c>
    </row>
    <row r="14" spans="1:10" x14ac:dyDescent="0.2">
      <c r="A14" s="7" t="s">
        <v>21</v>
      </c>
      <c r="B14" s="19">
        <v>45448</v>
      </c>
      <c r="C14" s="9">
        <v>1398</v>
      </c>
      <c r="D14" s="8">
        <v>7.5</v>
      </c>
      <c r="E14" s="8">
        <v>14</v>
      </c>
      <c r="F14" s="8">
        <v>5.5</v>
      </c>
      <c r="G14" s="8">
        <v>16</v>
      </c>
      <c r="H14" s="8">
        <v>6.5</v>
      </c>
      <c r="I14" s="8">
        <v>5</v>
      </c>
      <c r="J14" s="8">
        <v>33</v>
      </c>
    </row>
    <row r="15" spans="1:10" x14ac:dyDescent="0.2">
      <c r="A15" s="7" t="s">
        <v>43</v>
      </c>
      <c r="B15" s="19">
        <v>45448</v>
      </c>
      <c r="C15" s="9">
        <v>1035</v>
      </c>
      <c r="D15" s="8">
        <v>6.38</v>
      </c>
      <c r="E15" s="8">
        <v>11.55</v>
      </c>
      <c r="F15" s="8">
        <v>4.42</v>
      </c>
      <c r="G15" s="8">
        <v>15.27</v>
      </c>
      <c r="H15" s="8">
        <v>5.96</v>
      </c>
      <c r="I15" s="8">
        <v>5.12</v>
      </c>
      <c r="J15" s="8">
        <v>32.340000000000003</v>
      </c>
    </row>
    <row r="16" spans="1:10" x14ac:dyDescent="0.2">
      <c r="A16" s="7" t="s">
        <v>36</v>
      </c>
      <c r="B16" s="19">
        <v>45450</v>
      </c>
      <c r="C16" s="9">
        <v>2300</v>
      </c>
      <c r="D16" s="8">
        <v>9</v>
      </c>
      <c r="E16" s="8">
        <v>13</v>
      </c>
      <c r="F16" s="8">
        <v>5</v>
      </c>
      <c r="G16" s="8">
        <v>15</v>
      </c>
      <c r="H16" s="8">
        <v>7</v>
      </c>
      <c r="I16" s="8">
        <v>5.5</v>
      </c>
      <c r="J16" s="8">
        <v>31</v>
      </c>
    </row>
    <row r="17" spans="1:11" x14ac:dyDescent="0.2">
      <c r="A17" s="7" t="s">
        <v>44</v>
      </c>
      <c r="B17" s="19">
        <v>45433</v>
      </c>
      <c r="C17" s="9">
        <v>2000</v>
      </c>
      <c r="D17" s="8">
        <v>6.5</v>
      </c>
      <c r="E17" s="8">
        <v>14</v>
      </c>
      <c r="F17" s="8">
        <v>7</v>
      </c>
      <c r="G17" s="8">
        <v>17</v>
      </c>
      <c r="H17" s="8">
        <v>6.5</v>
      </c>
      <c r="I17" s="8">
        <v>6</v>
      </c>
      <c r="J17" s="8">
        <v>32</v>
      </c>
    </row>
    <row r="19" spans="1:11" ht="16" customHeight="1" x14ac:dyDescent="0.2">
      <c r="A19" s="10" t="s">
        <v>22</v>
      </c>
    </row>
    <row r="20" spans="1:11" x14ac:dyDescent="0.2">
      <c r="A20" s="3" t="s">
        <v>6</v>
      </c>
      <c r="B20" s="3"/>
      <c r="C20" s="3"/>
      <c r="D20" s="3" t="str">
        <f t="shared" ref="D20:J20" si="0">D6</f>
        <v>LFI</v>
      </c>
      <c r="E20" s="3" t="str">
        <f t="shared" si="0"/>
        <v>PS-PP</v>
      </c>
      <c r="F20" s="3" t="str">
        <f t="shared" si="0"/>
        <v>EELV</v>
      </c>
      <c r="G20" s="3" t="str">
        <f t="shared" si="0"/>
        <v>Ensemble</v>
      </c>
      <c r="H20" s="3" t="str">
        <f t="shared" si="0"/>
        <v>LR</v>
      </c>
      <c r="I20" s="3" t="str">
        <f t="shared" si="0"/>
        <v>Reconquête</v>
      </c>
      <c r="J20" s="3" t="str">
        <f t="shared" si="0"/>
        <v>RN</v>
      </c>
      <c r="K20" s="3" t="s">
        <v>23</v>
      </c>
    </row>
    <row r="21" spans="1:11" x14ac:dyDescent="0.2">
      <c r="A21" s="7" t="str">
        <f>A8</f>
        <v>Ifop</v>
      </c>
      <c r="D21" s="11">
        <f t="shared" ref="D21:J21" si="1">IF(D8="","",ABS(D8-D7))</f>
        <v>0.89000000000000057</v>
      </c>
      <c r="E21" s="11">
        <f t="shared" si="1"/>
        <v>0.83000000000000007</v>
      </c>
      <c r="F21" s="11">
        <f t="shared" si="1"/>
        <v>0</v>
      </c>
      <c r="G21" s="11">
        <f t="shared" si="1"/>
        <v>9.9999999999999645E-2</v>
      </c>
      <c r="H21" s="11">
        <f t="shared" si="1"/>
        <v>0.25</v>
      </c>
      <c r="I21" s="11">
        <f t="shared" si="1"/>
        <v>0.53000000000000025</v>
      </c>
      <c r="J21" s="11">
        <f t="shared" si="1"/>
        <v>1.629999999999999</v>
      </c>
      <c r="K21" s="12">
        <f>IF(COUNTA(D8:J8)=0,"",AVERAGE(D21:J21))</f>
        <v>0.6042857142857142</v>
      </c>
    </row>
    <row r="22" spans="1:11" x14ac:dyDescent="0.2">
      <c r="A22" s="7" t="str">
        <f t="shared" ref="A22:A31" si="2">A8</f>
        <v>Ifop</v>
      </c>
      <c r="D22" s="11">
        <f t="shared" ref="D22:J22" si="3">IF(D8="","",ABS(D8-D7))</f>
        <v>0.89000000000000057</v>
      </c>
      <c r="E22" s="11">
        <f t="shared" si="3"/>
        <v>0.83000000000000007</v>
      </c>
      <c r="F22" s="11">
        <f t="shared" si="3"/>
        <v>0</v>
      </c>
      <c r="G22" s="11">
        <f t="shared" si="3"/>
        <v>9.9999999999999645E-2</v>
      </c>
      <c r="H22" s="11">
        <f t="shared" si="3"/>
        <v>0.25</v>
      </c>
      <c r="I22" s="11">
        <f t="shared" si="3"/>
        <v>0.53000000000000025</v>
      </c>
      <c r="J22" s="11">
        <f t="shared" si="3"/>
        <v>1.629999999999999</v>
      </c>
      <c r="K22" s="12">
        <f t="shared" ref="K22:K31" si="4">IF(COUNTA(D8:J8)=0,"",AVERAGE(D22:J22))</f>
        <v>0.6042857142857142</v>
      </c>
    </row>
    <row r="23" spans="1:11" x14ac:dyDescent="0.2">
      <c r="A23" s="7" t="str">
        <f t="shared" si="2"/>
        <v>Ipsos</v>
      </c>
      <c r="D23" s="11">
        <f t="shared" ref="D23:J23" si="5">IF(D9="","",ABS(D9-D7))</f>
        <v>0.39000000000000057</v>
      </c>
      <c r="E23" s="11">
        <f t="shared" si="5"/>
        <v>0.66999999999999993</v>
      </c>
      <c r="F23" s="11">
        <f t="shared" si="5"/>
        <v>0.5</v>
      </c>
      <c r="G23" s="11">
        <f t="shared" si="5"/>
        <v>0.40000000000000036</v>
      </c>
      <c r="H23" s="11">
        <f t="shared" si="5"/>
        <v>0.25</v>
      </c>
      <c r="I23" s="11">
        <f t="shared" si="5"/>
        <v>3.0000000000000249E-2</v>
      </c>
      <c r="J23" s="11">
        <f t="shared" si="5"/>
        <v>0.62999999999999901</v>
      </c>
      <c r="K23" s="12">
        <f t="shared" si="4"/>
        <v>0.41000000000000003</v>
      </c>
    </row>
    <row r="24" spans="1:11" x14ac:dyDescent="0.2">
      <c r="A24" s="7" t="str">
        <f t="shared" si="2"/>
        <v>Elabe</v>
      </c>
      <c r="D24" s="11">
        <f t="shared" ref="D24:J24" si="6">IF(D10="","",ABS(D10-D7))</f>
        <v>0.39000000000000057</v>
      </c>
      <c r="E24" s="11">
        <f t="shared" si="6"/>
        <v>0.66999999999999993</v>
      </c>
      <c r="F24" s="11">
        <f t="shared" si="6"/>
        <v>0</v>
      </c>
      <c r="G24" s="11">
        <f t="shared" si="6"/>
        <v>1.4000000000000004</v>
      </c>
      <c r="H24" s="11">
        <f t="shared" si="6"/>
        <v>1.25</v>
      </c>
      <c r="I24" s="11">
        <f t="shared" si="6"/>
        <v>3.0000000000000249E-2</v>
      </c>
      <c r="J24" s="11">
        <f t="shared" si="6"/>
        <v>0.62999999999999901</v>
      </c>
      <c r="K24" s="12">
        <f t="shared" si="4"/>
        <v>0.62428571428571433</v>
      </c>
    </row>
    <row r="25" spans="1:11" x14ac:dyDescent="0.2">
      <c r="A25" s="7" t="str">
        <f t="shared" si="2"/>
        <v>Harris Interactive</v>
      </c>
      <c r="D25" s="11">
        <f t="shared" ref="D25:J25" si="7">IF(D11="","",ABS(D11-D7))</f>
        <v>0.39000000000000057</v>
      </c>
      <c r="E25" s="11">
        <f t="shared" si="7"/>
        <v>0.83000000000000007</v>
      </c>
      <c r="F25" s="11">
        <f t="shared" si="7"/>
        <v>0.5</v>
      </c>
      <c r="G25" s="11">
        <f t="shared" si="7"/>
        <v>0.59999999999999964</v>
      </c>
      <c r="H25" s="11">
        <f t="shared" si="7"/>
        <v>0.25</v>
      </c>
      <c r="I25" s="11">
        <f t="shared" si="7"/>
        <v>0.46999999999999975</v>
      </c>
      <c r="J25" s="11">
        <f t="shared" si="7"/>
        <v>0.62999999999999901</v>
      </c>
      <c r="K25" s="12">
        <f t="shared" si="4"/>
        <v>0.52428571428571413</v>
      </c>
    </row>
    <row r="26" spans="1:11" x14ac:dyDescent="0.2">
      <c r="A26" s="21" t="str">
        <f t="shared" si="2"/>
        <v>OpinionWay</v>
      </c>
      <c r="D26" s="11">
        <f t="shared" ref="D26:J26" si="8">IF(D12="","",ABS(D12-D7))</f>
        <v>1.8900000000000006</v>
      </c>
      <c r="E26" s="11">
        <f t="shared" si="8"/>
        <v>0.16999999999999993</v>
      </c>
      <c r="F26" s="11">
        <f t="shared" si="8"/>
        <v>0.5</v>
      </c>
      <c r="G26" s="11">
        <f t="shared" si="8"/>
        <v>0.40000000000000036</v>
      </c>
      <c r="H26" s="11">
        <f t="shared" si="8"/>
        <v>1.25</v>
      </c>
      <c r="I26" s="11">
        <f t="shared" si="8"/>
        <v>0.53000000000000025</v>
      </c>
      <c r="J26" s="11">
        <f t="shared" si="8"/>
        <v>1.629999999999999</v>
      </c>
      <c r="K26" s="12">
        <f t="shared" si="4"/>
        <v>0.91</v>
      </c>
    </row>
    <row r="27" spans="1:11" x14ac:dyDescent="0.2">
      <c r="A27" s="7" t="str">
        <f t="shared" si="2"/>
        <v>Odoxa</v>
      </c>
      <c r="D27" s="11">
        <f t="shared" ref="D27:J27" si="9">IF(D13="","",ABS(D13-D7))</f>
        <v>2.8900000000000006</v>
      </c>
      <c r="E27" s="11">
        <f t="shared" si="9"/>
        <v>0.16999999999999993</v>
      </c>
      <c r="F27" s="11">
        <f t="shared" si="9"/>
        <v>0.5</v>
      </c>
      <c r="G27" s="11">
        <f t="shared" si="9"/>
        <v>0.40000000000000036</v>
      </c>
      <c r="H27" s="11">
        <f t="shared" si="9"/>
        <v>0.25</v>
      </c>
      <c r="I27" s="11">
        <f t="shared" si="9"/>
        <v>0.53000000000000025</v>
      </c>
      <c r="J27" s="11">
        <f t="shared" si="9"/>
        <v>0.62999999999999901</v>
      </c>
      <c r="K27" s="12">
        <f t="shared" si="4"/>
        <v>0.76714285714285713</v>
      </c>
    </row>
    <row r="28" spans="1:11" x14ac:dyDescent="0.2">
      <c r="A28" s="7" t="str">
        <f t="shared" si="2"/>
        <v>BVA</v>
      </c>
      <c r="D28" s="11">
        <f t="shared" ref="D28:J28" si="10">IF(D14="","",ABS(D14-D7))</f>
        <v>2.3900000000000006</v>
      </c>
      <c r="E28" s="11">
        <f t="shared" si="10"/>
        <v>0.16999999999999993</v>
      </c>
      <c r="F28" s="11">
        <f t="shared" si="10"/>
        <v>0</v>
      </c>
      <c r="G28" s="11">
        <f t="shared" si="10"/>
        <v>1.4000000000000004</v>
      </c>
      <c r="H28" s="11">
        <f t="shared" si="10"/>
        <v>0.75</v>
      </c>
      <c r="I28" s="11">
        <f t="shared" si="10"/>
        <v>0.46999999999999975</v>
      </c>
      <c r="J28" s="11">
        <f t="shared" si="10"/>
        <v>1.629999999999999</v>
      </c>
      <c r="K28" s="12">
        <f t="shared" si="4"/>
        <v>0.97285714285714275</v>
      </c>
    </row>
    <row r="29" spans="1:11" x14ac:dyDescent="0.2">
      <c r="A29" s="7" t="str">
        <f t="shared" si="2"/>
        <v>YouGov</v>
      </c>
      <c r="D29" s="11">
        <f t="shared" ref="D29:J29" si="11">IF(D15="","",ABS(D15-D7))</f>
        <v>3.5100000000000007</v>
      </c>
      <c r="E29" s="11">
        <f t="shared" si="11"/>
        <v>2.2799999999999994</v>
      </c>
      <c r="F29" s="11">
        <f t="shared" si="11"/>
        <v>1.08</v>
      </c>
      <c r="G29" s="11">
        <f t="shared" si="11"/>
        <v>0.66999999999999993</v>
      </c>
      <c r="H29" s="11">
        <f t="shared" si="11"/>
        <v>1.29</v>
      </c>
      <c r="I29" s="11">
        <f t="shared" si="11"/>
        <v>0.34999999999999964</v>
      </c>
      <c r="J29" s="11">
        <f t="shared" si="11"/>
        <v>0.97000000000000242</v>
      </c>
      <c r="K29" s="12">
        <f t="shared" si="4"/>
        <v>1.4500000000000004</v>
      </c>
    </row>
    <row r="30" spans="1:11" x14ac:dyDescent="0.2">
      <c r="A30" s="7" t="str">
        <f t="shared" si="2"/>
        <v>Cluster17</v>
      </c>
      <c r="D30" s="11">
        <f t="shared" ref="D30:J30" si="12">IF(D16="","",ABS(D16-D7))</f>
        <v>0.89000000000000057</v>
      </c>
      <c r="E30" s="11">
        <f t="shared" si="12"/>
        <v>0.83000000000000007</v>
      </c>
      <c r="F30" s="11">
        <f t="shared" si="12"/>
        <v>0.5</v>
      </c>
      <c r="G30" s="11">
        <f t="shared" si="12"/>
        <v>0.40000000000000036</v>
      </c>
      <c r="H30" s="11">
        <f t="shared" si="12"/>
        <v>0.25</v>
      </c>
      <c r="I30" s="11">
        <f t="shared" si="12"/>
        <v>3.0000000000000249E-2</v>
      </c>
      <c r="J30" s="11">
        <f t="shared" si="12"/>
        <v>0.37000000000000099</v>
      </c>
      <c r="K30" s="12">
        <f t="shared" si="4"/>
        <v>0.46714285714285747</v>
      </c>
    </row>
    <row r="31" spans="1:11" x14ac:dyDescent="0.2">
      <c r="A31" t="str">
        <f t="shared" si="2"/>
        <v>Viavoice</v>
      </c>
      <c r="D31">
        <f t="shared" ref="D31:J31" si="13">IF(D17="","",ABS(D17-D7))</f>
        <v>3.3900000000000006</v>
      </c>
      <c r="E31">
        <f t="shared" si="13"/>
        <v>0.16999999999999993</v>
      </c>
      <c r="F31">
        <f t="shared" si="13"/>
        <v>1.5</v>
      </c>
      <c r="G31">
        <f t="shared" si="13"/>
        <v>2.4000000000000004</v>
      </c>
      <c r="H31">
        <f t="shared" si="13"/>
        <v>0.75</v>
      </c>
      <c r="I31">
        <f t="shared" si="13"/>
        <v>0.53000000000000025</v>
      </c>
      <c r="J31">
        <f t="shared" si="13"/>
        <v>0.62999999999999901</v>
      </c>
      <c r="K31">
        <f t="shared" si="4"/>
        <v>1.3385714285714287</v>
      </c>
    </row>
    <row r="32" spans="1:11" x14ac:dyDescent="0.2">
      <c r="A32" s="1" t="s">
        <v>24</v>
      </c>
    </row>
    <row r="33" spans="1:1" x14ac:dyDescent="0.2">
      <c r="A33" s="13" t="s">
        <v>25</v>
      </c>
    </row>
    <row r="34" spans="1:1" x14ac:dyDescent="0.2">
      <c r="A34" s="14" t="s">
        <v>26</v>
      </c>
    </row>
    <row r="35" spans="1:1" x14ac:dyDescent="0.2">
      <c r="A35" s="15" t="s">
        <v>27</v>
      </c>
    </row>
    <row r="36" spans="1:1" x14ac:dyDescent="0.2">
      <c r="A36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Normal="100" workbookViewId="0">
      <selection activeCell="B8" sqref="B8"/>
    </sheetView>
  </sheetViews>
  <sheetFormatPr baseColWidth="10" defaultColWidth="8.6640625" defaultRowHeight="15" x14ac:dyDescent="0.2"/>
  <cols>
    <col min="1" max="1" width="44" bestFit="1" customWidth="1"/>
    <col min="2" max="9" width="14" customWidth="1"/>
  </cols>
  <sheetData>
    <row r="1" spans="1:8" x14ac:dyDescent="0.2">
      <c r="A1" s="1" t="s">
        <v>0</v>
      </c>
      <c r="B1" s="17" t="s">
        <v>45</v>
      </c>
    </row>
    <row r="2" spans="1:8" x14ac:dyDescent="0.2">
      <c r="A2" s="1" t="s">
        <v>2</v>
      </c>
      <c r="B2" s="18">
        <v>44724</v>
      </c>
    </row>
    <row r="3" spans="1:8" x14ac:dyDescent="0.2">
      <c r="A3" s="1" t="s">
        <v>3</v>
      </c>
      <c r="B3" s="2" t="s">
        <v>4</v>
      </c>
    </row>
    <row r="4" spans="1:8" x14ac:dyDescent="0.2">
      <c r="A4" s="1" t="s">
        <v>5</v>
      </c>
      <c r="B4" s="2">
        <v>0.5</v>
      </c>
    </row>
    <row r="6" spans="1:8" x14ac:dyDescent="0.2">
      <c r="A6" s="3" t="s">
        <v>6</v>
      </c>
      <c r="B6" s="3" t="s">
        <v>7</v>
      </c>
      <c r="C6" s="3" t="s">
        <v>8</v>
      </c>
      <c r="D6" s="3" t="s">
        <v>46</v>
      </c>
      <c r="E6" s="3" t="s">
        <v>31</v>
      </c>
      <c r="F6" s="3" t="s">
        <v>32</v>
      </c>
      <c r="G6" s="3" t="s">
        <v>42</v>
      </c>
      <c r="H6" s="3" t="s">
        <v>41</v>
      </c>
    </row>
    <row r="7" spans="1:8" x14ac:dyDescent="0.2">
      <c r="A7" s="4" t="s">
        <v>14</v>
      </c>
      <c r="B7" s="20">
        <v>44724</v>
      </c>
      <c r="C7" s="5" t="s">
        <v>15</v>
      </c>
      <c r="D7" s="6">
        <v>25.66</v>
      </c>
      <c r="E7" s="6">
        <v>25.75</v>
      </c>
      <c r="F7" s="6">
        <v>11.29</v>
      </c>
      <c r="G7" s="6">
        <v>18.68</v>
      </c>
      <c r="H7" s="6">
        <v>4.24</v>
      </c>
    </row>
    <row r="8" spans="1:8" x14ac:dyDescent="0.2">
      <c r="A8" s="7" t="s">
        <v>16</v>
      </c>
      <c r="B8" s="19">
        <v>44721</v>
      </c>
      <c r="C8" s="9">
        <v>1831</v>
      </c>
      <c r="D8" s="8">
        <v>26.5</v>
      </c>
      <c r="E8" s="8">
        <v>26</v>
      </c>
      <c r="F8" s="8">
        <v>12</v>
      </c>
      <c r="G8" s="8">
        <v>19</v>
      </c>
      <c r="H8" s="8">
        <v>5.5</v>
      </c>
    </row>
    <row r="9" spans="1:8" x14ac:dyDescent="0.2">
      <c r="A9" s="7" t="s">
        <v>17</v>
      </c>
      <c r="B9" s="19">
        <v>44722</v>
      </c>
      <c r="C9" s="9">
        <v>8159</v>
      </c>
      <c r="D9" s="8">
        <v>27</v>
      </c>
      <c r="E9" s="8">
        <v>28</v>
      </c>
      <c r="F9" s="8">
        <v>11</v>
      </c>
      <c r="G9" s="8">
        <v>19</v>
      </c>
      <c r="H9" s="8">
        <v>5.5</v>
      </c>
    </row>
    <row r="10" spans="1:8" x14ac:dyDescent="0.2">
      <c r="A10" s="7" t="s">
        <v>34</v>
      </c>
      <c r="B10" s="19">
        <v>44721</v>
      </c>
      <c r="C10" s="9">
        <v>2000</v>
      </c>
      <c r="D10" s="8">
        <v>26.5</v>
      </c>
      <c r="E10" s="8">
        <v>27</v>
      </c>
      <c r="F10" s="8">
        <v>12</v>
      </c>
      <c r="G10" s="8">
        <v>19.5</v>
      </c>
      <c r="H10" s="8">
        <v>4.5</v>
      </c>
    </row>
    <row r="11" spans="1:8" x14ac:dyDescent="0.2">
      <c r="A11" s="7" t="s">
        <v>19</v>
      </c>
      <c r="B11" s="19">
        <v>44722</v>
      </c>
      <c r="C11" s="9">
        <v>2424</v>
      </c>
      <c r="D11" s="8">
        <v>26</v>
      </c>
      <c r="E11" s="8">
        <v>26</v>
      </c>
      <c r="F11" s="8">
        <v>11</v>
      </c>
      <c r="G11" s="8">
        <v>20</v>
      </c>
      <c r="H11" s="8">
        <v>5</v>
      </c>
    </row>
    <row r="12" spans="1:8" x14ac:dyDescent="0.2">
      <c r="A12" s="7" t="s">
        <v>20</v>
      </c>
      <c r="B12" s="19">
        <v>44720</v>
      </c>
      <c r="C12" s="9">
        <v>3232</v>
      </c>
      <c r="D12" s="8">
        <v>25</v>
      </c>
      <c r="E12" s="8">
        <v>28</v>
      </c>
      <c r="F12" s="8">
        <v>12</v>
      </c>
      <c r="G12" s="8">
        <v>18</v>
      </c>
      <c r="H12" s="8">
        <v>6</v>
      </c>
    </row>
    <row r="13" spans="1:8" x14ac:dyDescent="0.2">
      <c r="A13" s="21" t="s">
        <v>43</v>
      </c>
      <c r="B13" s="19">
        <v>44720</v>
      </c>
      <c r="C13" s="9">
        <v>3568</v>
      </c>
      <c r="D13" s="8">
        <v>25</v>
      </c>
      <c r="E13" s="8">
        <v>26</v>
      </c>
      <c r="F13" s="8">
        <v>9</v>
      </c>
      <c r="G13" s="8">
        <v>21</v>
      </c>
      <c r="H13" s="8">
        <v>8</v>
      </c>
    </row>
    <row r="14" spans="1:8" x14ac:dyDescent="0.2">
      <c r="A14" s="7" t="s">
        <v>36</v>
      </c>
      <c r="B14" s="19">
        <v>44721</v>
      </c>
      <c r="C14" s="9">
        <v>2484</v>
      </c>
      <c r="D14" s="8">
        <v>29.5</v>
      </c>
      <c r="E14" s="8">
        <v>26</v>
      </c>
      <c r="F14" s="8">
        <v>12</v>
      </c>
      <c r="G14" s="8">
        <v>17.5</v>
      </c>
      <c r="H14" s="8">
        <v>5.5</v>
      </c>
    </row>
    <row r="15" spans="1:8" x14ac:dyDescent="0.2">
      <c r="A15" s="7"/>
      <c r="B15" s="19"/>
      <c r="C15" s="9"/>
      <c r="D15" s="8"/>
      <c r="E15" s="8"/>
      <c r="F15" s="8"/>
      <c r="G15" s="8"/>
      <c r="H15" s="8"/>
    </row>
    <row r="16" spans="1:8" x14ac:dyDescent="0.2">
      <c r="A16" s="7"/>
      <c r="B16" s="19"/>
      <c r="C16" s="9"/>
      <c r="D16" s="8"/>
      <c r="E16" s="8"/>
      <c r="F16" s="8"/>
      <c r="G16" s="8"/>
      <c r="H16" s="8"/>
    </row>
    <row r="18" spans="1:9" ht="16" customHeight="1" x14ac:dyDescent="0.2">
      <c r="A18" s="10" t="s">
        <v>22</v>
      </c>
    </row>
    <row r="19" spans="1:9" x14ac:dyDescent="0.2">
      <c r="A19" s="3" t="s">
        <v>6</v>
      </c>
      <c r="B19" s="3"/>
      <c r="C19" s="3"/>
      <c r="D19" s="3" t="str">
        <f>D6</f>
        <v>NUPES</v>
      </c>
      <c r="E19" s="3" t="str">
        <f>E6</f>
        <v>Ensemble</v>
      </c>
      <c r="F19" s="3" t="str">
        <f>F6</f>
        <v>LR</v>
      </c>
      <c r="G19" s="3" t="str">
        <f>G6</f>
        <v>RN</v>
      </c>
      <c r="H19" s="3" t="str">
        <f>H6</f>
        <v>Reconquête</v>
      </c>
      <c r="I19" s="3" t="s">
        <v>23</v>
      </c>
    </row>
    <row r="20" spans="1:9" x14ac:dyDescent="0.2">
      <c r="A20" s="7" t="str">
        <f>A8</f>
        <v>Ifop</v>
      </c>
      <c r="D20" s="11">
        <f>IF(D8="","",ABS(D8-D7))</f>
        <v>0.83999999999999986</v>
      </c>
      <c r="E20" s="11">
        <f>IF(E8="","",ABS(E8-E7))</f>
        <v>0.25</v>
      </c>
      <c r="F20" s="11">
        <f>IF(F8="","",ABS(F8-F7))</f>
        <v>0.71000000000000085</v>
      </c>
      <c r="G20" s="11">
        <f>IF(G8="","",ABS(G8-G7))</f>
        <v>0.32000000000000028</v>
      </c>
      <c r="H20" s="11">
        <f>IF(H8="","",ABS(H8-H7))</f>
        <v>1.2599999999999998</v>
      </c>
      <c r="I20" s="12">
        <f t="shared" ref="I20:I26" si="0">IF(COUNTA(D8:H8)=0,"",AVERAGE(D20:H20))</f>
        <v>0.67600000000000016</v>
      </c>
    </row>
    <row r="21" spans="1:9" x14ac:dyDescent="0.2">
      <c r="A21" s="7" t="str">
        <f>A9</f>
        <v>Ipsos</v>
      </c>
      <c r="D21" s="11">
        <f>IF(D9="","",ABS(D9-D7))</f>
        <v>1.3399999999999999</v>
      </c>
      <c r="E21" s="11">
        <f>IF(E9="","",ABS(E9-E7))</f>
        <v>2.25</v>
      </c>
      <c r="F21" s="11">
        <f>IF(F9="","",ABS(F9-F7))</f>
        <v>0.28999999999999915</v>
      </c>
      <c r="G21" s="11">
        <f>IF(G9="","",ABS(G9-G7))</f>
        <v>0.32000000000000028</v>
      </c>
      <c r="H21" s="11">
        <f>IF(H9="","",ABS(H9-H7))</f>
        <v>1.2599999999999998</v>
      </c>
      <c r="I21" s="12">
        <f t="shared" si="0"/>
        <v>1.0919999999999999</v>
      </c>
    </row>
    <row r="22" spans="1:9" x14ac:dyDescent="0.2">
      <c r="A22" s="7" t="str">
        <f>A10</f>
        <v>Elabe</v>
      </c>
      <c r="D22" s="11">
        <f>IF(D10="","",ABS(D10-D7))</f>
        <v>0.83999999999999986</v>
      </c>
      <c r="E22" s="11">
        <f>IF(E10="","",ABS(E10-E7))</f>
        <v>1.25</v>
      </c>
      <c r="F22" s="11">
        <f>IF(F10="","",ABS(F10-F7))</f>
        <v>0.71000000000000085</v>
      </c>
      <c r="G22" s="11">
        <f>IF(G10="","",ABS(G10-G7))</f>
        <v>0.82000000000000028</v>
      </c>
      <c r="H22" s="11">
        <f>IF(H10="","",ABS(H10-H7))</f>
        <v>0.25999999999999979</v>
      </c>
      <c r="I22" s="12">
        <f t="shared" si="0"/>
        <v>0.77600000000000013</v>
      </c>
    </row>
    <row r="23" spans="1:9" x14ac:dyDescent="0.2">
      <c r="A23" s="7" t="str">
        <f>A11</f>
        <v>Harris Interactive</v>
      </c>
      <c r="D23" s="11">
        <f>IF(D11="","",ABS(D11-D7))</f>
        <v>0.33999999999999986</v>
      </c>
      <c r="E23" s="11">
        <f>IF(E11="","",ABS(E11-E7))</f>
        <v>0.25</v>
      </c>
      <c r="F23" s="11">
        <f>IF(F11="","",ABS(F11-F7))</f>
        <v>0.28999999999999915</v>
      </c>
      <c r="G23" s="11">
        <f>IF(G11="","",ABS(G11-G7))</f>
        <v>1.3200000000000003</v>
      </c>
      <c r="H23" s="11">
        <f>IF(H11="","",ABS(H11-H7))</f>
        <v>0.75999999999999979</v>
      </c>
      <c r="I23" s="12">
        <f t="shared" si="0"/>
        <v>0.59199999999999986</v>
      </c>
    </row>
    <row r="24" spans="1:9" x14ac:dyDescent="0.2">
      <c r="A24" s="7" t="str">
        <f>A12</f>
        <v>OpinionWay</v>
      </c>
      <c r="D24" s="11">
        <f>IF(D12="","",ABS(D12-D7))</f>
        <v>0.66000000000000014</v>
      </c>
      <c r="E24" s="11">
        <f>IF(E12="","",ABS(E12-E7))</f>
        <v>2.25</v>
      </c>
      <c r="F24" s="11">
        <f>IF(F12="","",ABS(F12-F7))</f>
        <v>0.71000000000000085</v>
      </c>
      <c r="G24" s="11">
        <f>IF(G12="","",ABS(G12-G7))</f>
        <v>0.67999999999999972</v>
      </c>
      <c r="H24" s="11">
        <f>IF(H12="","",ABS(H12-H7))</f>
        <v>1.7599999999999998</v>
      </c>
      <c r="I24" s="12">
        <f t="shared" si="0"/>
        <v>1.2120000000000002</v>
      </c>
    </row>
    <row r="25" spans="1:9" x14ac:dyDescent="0.2">
      <c r="A25" s="21" t="s">
        <v>47</v>
      </c>
      <c r="D25" s="11">
        <f>IF(D13="","",ABS(D13-D7))</f>
        <v>0.66000000000000014</v>
      </c>
      <c r="E25" s="11">
        <f>IF(E13="","",ABS(E13-E7))</f>
        <v>0.25</v>
      </c>
      <c r="F25" s="11">
        <f>IF(F13="","",ABS(F13-F7))</f>
        <v>2.2899999999999991</v>
      </c>
      <c r="G25" s="11">
        <f>IF(G13="","",ABS(G13-G7))</f>
        <v>2.3200000000000003</v>
      </c>
      <c r="H25" s="11">
        <f>IF(H13="","",ABS(H13-H7))</f>
        <v>3.76</v>
      </c>
      <c r="I25" s="12">
        <f t="shared" si="0"/>
        <v>1.8559999999999999</v>
      </c>
    </row>
    <row r="26" spans="1:9" x14ac:dyDescent="0.2">
      <c r="A26" s="7" t="str">
        <f>A14</f>
        <v>Cluster17</v>
      </c>
      <c r="D26" s="11">
        <f>IF(D14="","",ABS(D14-D7))</f>
        <v>3.84</v>
      </c>
      <c r="E26" s="11">
        <f>IF(E14="","",ABS(E14-E7))</f>
        <v>0.25</v>
      </c>
      <c r="F26" s="11">
        <f>IF(F14="","",ABS(F14-F7))</f>
        <v>0.71000000000000085</v>
      </c>
      <c r="G26" s="11">
        <f>IF(G14="","",ABS(G14-G7))</f>
        <v>1.1799999999999997</v>
      </c>
      <c r="H26" s="11">
        <f>IF(H14="","",ABS(H14-H7))</f>
        <v>1.2599999999999998</v>
      </c>
      <c r="I26" s="12">
        <f t="shared" si="0"/>
        <v>1.448</v>
      </c>
    </row>
    <row r="27" spans="1:9" x14ac:dyDescent="0.2">
      <c r="A27" s="7">
        <f>A15</f>
        <v>0</v>
      </c>
      <c r="D27" s="11" t="str">
        <f>IF(D15="","",ABS(D15-D7))</f>
        <v/>
      </c>
      <c r="E27" s="11" t="str">
        <f>IF(E15="","",ABS(E15-E7))</f>
        <v/>
      </c>
      <c r="F27" s="11" t="str">
        <f>IF(F15="","",ABS(F15-F7))</f>
        <v/>
      </c>
      <c r="G27" s="11" t="str">
        <f>IF(G15="","",ABS(G15-G7))</f>
        <v/>
      </c>
      <c r="H27" s="11" t="str">
        <f>IF(H15="","",ABS(H15-H7))</f>
        <v/>
      </c>
      <c r="I27" s="12" t="str">
        <f>IF(COUNTA(D15:G15)=0,"",AVERAGE(D27:G27))</f>
        <v/>
      </c>
    </row>
    <row r="28" spans="1:9" x14ac:dyDescent="0.2">
      <c r="A28" s="7">
        <f>A16</f>
        <v>0</v>
      </c>
      <c r="D28" s="11" t="str">
        <f>IF(D16="","",ABS(D16-D7))</f>
        <v/>
      </c>
      <c r="E28" s="11" t="str">
        <f>IF(E16="","",ABS(E16-E7))</f>
        <v/>
      </c>
      <c r="F28" s="11" t="str">
        <f>IF(F16="","",ABS(F16-F7))</f>
        <v/>
      </c>
      <c r="G28" s="11" t="str">
        <f>IF(G16="","",ABS(G16-G7))</f>
        <v/>
      </c>
      <c r="H28" s="11" t="str">
        <f>IF(H16="","",ABS(H16-H7))</f>
        <v/>
      </c>
      <c r="I28" s="12" t="str">
        <f>IF(COUNTA(D16:G16)=0,"",AVERAGE(D28:G28))</f>
        <v/>
      </c>
    </row>
    <row r="30" spans="1:9" x14ac:dyDescent="0.2">
      <c r="A30" s="1" t="s">
        <v>24</v>
      </c>
    </row>
    <row r="31" spans="1:9" x14ac:dyDescent="0.2">
      <c r="A31" s="13" t="s">
        <v>25</v>
      </c>
    </row>
    <row r="32" spans="1:9" x14ac:dyDescent="0.2">
      <c r="A32" s="14" t="s">
        <v>26</v>
      </c>
    </row>
    <row r="33" spans="1:1" x14ac:dyDescent="0.2">
      <c r="A33" s="15" t="s">
        <v>27</v>
      </c>
    </row>
    <row r="34" spans="1:1" x14ac:dyDescent="0.2">
      <c r="A34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topLeftCell="A3" zoomScaleNormal="100" workbookViewId="0">
      <selection activeCell="D29" sqref="D29"/>
    </sheetView>
  </sheetViews>
  <sheetFormatPr baseColWidth="10" defaultColWidth="8.6640625" defaultRowHeight="15" x14ac:dyDescent="0.2"/>
  <cols>
    <col min="1" max="1" width="22" customWidth="1"/>
    <col min="2" max="6" width="14" customWidth="1"/>
  </cols>
  <sheetData>
    <row r="1" spans="1:5" x14ac:dyDescent="0.2">
      <c r="A1" s="1" t="s">
        <v>0</v>
      </c>
      <c r="B1" s="17" t="s">
        <v>48</v>
      </c>
    </row>
    <row r="2" spans="1:5" x14ac:dyDescent="0.2">
      <c r="A2" s="1" t="s">
        <v>2</v>
      </c>
      <c r="B2" s="18">
        <v>44675</v>
      </c>
    </row>
    <row r="3" spans="1:5" x14ac:dyDescent="0.2">
      <c r="A3" s="1" t="s">
        <v>3</v>
      </c>
      <c r="B3" s="2" t="s">
        <v>4</v>
      </c>
    </row>
    <row r="4" spans="1:5" x14ac:dyDescent="0.2">
      <c r="A4" s="1" t="s">
        <v>5</v>
      </c>
      <c r="B4" s="2">
        <v>1</v>
      </c>
    </row>
    <row r="6" spans="1:5" x14ac:dyDescent="0.2">
      <c r="A6" s="3" t="s">
        <v>6</v>
      </c>
      <c r="B6" s="23" t="s">
        <v>7</v>
      </c>
      <c r="C6" s="3" t="s">
        <v>8</v>
      </c>
      <c r="D6" s="3" t="s">
        <v>49</v>
      </c>
      <c r="E6" s="3" t="s">
        <v>50</v>
      </c>
    </row>
    <row r="7" spans="1:5" x14ac:dyDescent="0.2">
      <c r="A7" s="4" t="s">
        <v>14</v>
      </c>
      <c r="B7" s="25">
        <v>44675</v>
      </c>
      <c r="C7" s="5" t="s">
        <v>15</v>
      </c>
      <c r="D7" s="6">
        <v>58.55</v>
      </c>
      <c r="E7" s="6">
        <v>41.45</v>
      </c>
    </row>
    <row r="8" spans="1:5" x14ac:dyDescent="0.2">
      <c r="A8" s="7" t="s">
        <v>16</v>
      </c>
      <c r="B8" s="19">
        <v>44672</v>
      </c>
      <c r="C8" s="9">
        <v>2839</v>
      </c>
      <c r="D8" s="8">
        <v>55.5</v>
      </c>
      <c r="E8" s="8">
        <v>44.5</v>
      </c>
    </row>
    <row r="9" spans="1:5" x14ac:dyDescent="0.2">
      <c r="A9" s="7" t="s">
        <v>17</v>
      </c>
      <c r="B9" s="19">
        <v>44673</v>
      </c>
      <c r="C9" s="9">
        <v>12129</v>
      </c>
      <c r="D9" s="8">
        <v>56.5</v>
      </c>
      <c r="E9" s="8">
        <v>43.5</v>
      </c>
    </row>
    <row r="10" spans="1:5" x14ac:dyDescent="0.2">
      <c r="A10" s="7" t="s">
        <v>34</v>
      </c>
      <c r="B10" s="19">
        <v>44673</v>
      </c>
      <c r="C10" s="9">
        <v>1800</v>
      </c>
      <c r="D10" s="8">
        <v>55.5</v>
      </c>
      <c r="E10" s="8">
        <v>44.5</v>
      </c>
    </row>
    <row r="11" spans="1:5" x14ac:dyDescent="0.2">
      <c r="A11" s="7" t="s">
        <v>19</v>
      </c>
      <c r="B11" s="19">
        <v>44673</v>
      </c>
      <c r="C11" s="9">
        <v>2379</v>
      </c>
      <c r="D11" s="8">
        <v>55</v>
      </c>
      <c r="E11" s="8">
        <v>45</v>
      </c>
    </row>
    <row r="12" spans="1:5" x14ac:dyDescent="0.2">
      <c r="A12" s="7" t="s">
        <v>20</v>
      </c>
      <c r="B12" s="19">
        <v>44673</v>
      </c>
      <c r="C12" s="9">
        <v>2329</v>
      </c>
      <c r="D12" s="8">
        <v>57</v>
      </c>
      <c r="E12" s="8">
        <v>43</v>
      </c>
    </row>
    <row r="13" spans="1:5" x14ac:dyDescent="0.2">
      <c r="A13" s="7" t="s">
        <v>35</v>
      </c>
      <c r="B13" s="19">
        <v>44672</v>
      </c>
      <c r="C13" s="9">
        <v>1901</v>
      </c>
      <c r="D13" s="8">
        <v>53</v>
      </c>
      <c r="E13" s="8">
        <v>47</v>
      </c>
    </row>
    <row r="14" spans="1:5" x14ac:dyDescent="0.2">
      <c r="A14" s="7" t="s">
        <v>21</v>
      </c>
      <c r="B14" s="19">
        <v>44672</v>
      </c>
      <c r="C14" s="9">
        <v>1504</v>
      </c>
      <c r="D14" s="8">
        <v>55.5</v>
      </c>
      <c r="E14" s="8">
        <v>44.5</v>
      </c>
    </row>
    <row r="15" spans="1:5" x14ac:dyDescent="0.2">
      <c r="A15" s="7" t="s">
        <v>36</v>
      </c>
      <c r="B15" s="19">
        <v>44669</v>
      </c>
      <c r="C15" s="9">
        <v>2793</v>
      </c>
      <c r="D15" s="8">
        <v>53.5</v>
      </c>
      <c r="E15" s="8">
        <v>46.5</v>
      </c>
    </row>
    <row r="16" spans="1:5" x14ac:dyDescent="0.2">
      <c r="A16" s="21" t="s">
        <v>51</v>
      </c>
      <c r="B16" s="19">
        <v>44670</v>
      </c>
      <c r="C16" s="9">
        <v>1400</v>
      </c>
      <c r="D16" s="8">
        <v>55</v>
      </c>
      <c r="E16" s="8">
        <v>45</v>
      </c>
    </row>
    <row r="17" spans="1:6" x14ac:dyDescent="0.2">
      <c r="A17" s="7"/>
      <c r="B17" s="8"/>
      <c r="C17" s="9"/>
      <c r="D17" s="8"/>
      <c r="E17" s="8"/>
    </row>
    <row r="19" spans="1:6" ht="16" customHeight="1" x14ac:dyDescent="0.2">
      <c r="A19" s="10" t="s">
        <v>22</v>
      </c>
    </row>
    <row r="20" spans="1:6" x14ac:dyDescent="0.2">
      <c r="A20" s="3" t="s">
        <v>6</v>
      </c>
      <c r="B20" s="3"/>
      <c r="C20" s="3"/>
      <c r="D20" s="3" t="str">
        <f>D6</f>
        <v>Macron</v>
      </c>
      <c r="E20" s="3" t="str">
        <f>E6</f>
        <v>Le Pen</v>
      </c>
      <c r="F20" s="3" t="s">
        <v>23</v>
      </c>
    </row>
    <row r="21" spans="1:6" x14ac:dyDescent="0.2">
      <c r="A21" s="7" t="str">
        <f t="shared" ref="A21:A30" si="0">A8</f>
        <v>Ifop</v>
      </c>
      <c r="D21" s="11">
        <f>IF(D8="","",ABS(D8-D7))</f>
        <v>3.0499999999999972</v>
      </c>
      <c r="E21" s="11">
        <f>IF(E8="","",ABS(E8-E7))</f>
        <v>3.0499999999999972</v>
      </c>
      <c r="F21" s="12">
        <f t="shared" ref="F21:F30" si="1">IF(COUNTA(D8:E8)=0,"",AVERAGE(D21:E21))</f>
        <v>3.0499999999999972</v>
      </c>
    </row>
    <row r="22" spans="1:6" x14ac:dyDescent="0.2">
      <c r="A22" s="7" t="str">
        <f t="shared" si="0"/>
        <v>Ipsos</v>
      </c>
      <c r="D22" s="11">
        <f>IF(D9="","",ABS(D9-D7))</f>
        <v>2.0499999999999972</v>
      </c>
      <c r="E22" s="11">
        <f>IF(E9="","",ABS(E9-E7))</f>
        <v>2.0499999999999972</v>
      </c>
      <c r="F22" s="12">
        <f t="shared" si="1"/>
        <v>2.0499999999999972</v>
      </c>
    </row>
    <row r="23" spans="1:6" x14ac:dyDescent="0.2">
      <c r="A23" s="7" t="str">
        <f t="shared" si="0"/>
        <v>Elabe</v>
      </c>
      <c r="D23" s="11">
        <f>IF(D10="","",ABS(D10-D7))</f>
        <v>3.0499999999999972</v>
      </c>
      <c r="E23" s="11">
        <f>IF(E10="","",ABS(E10-E7))</f>
        <v>3.0499999999999972</v>
      </c>
      <c r="F23" s="12">
        <f t="shared" si="1"/>
        <v>3.0499999999999972</v>
      </c>
    </row>
    <row r="24" spans="1:6" x14ac:dyDescent="0.2">
      <c r="A24" s="7" t="str">
        <f t="shared" si="0"/>
        <v>Harris Interactive</v>
      </c>
      <c r="D24" s="11">
        <f>IF(D11="","",ABS(D11-D7))</f>
        <v>3.5499999999999972</v>
      </c>
      <c r="E24" s="11">
        <f>IF(E11="","",ABS(E11-E7))</f>
        <v>3.5499999999999972</v>
      </c>
      <c r="F24" s="12">
        <f t="shared" si="1"/>
        <v>3.5499999999999972</v>
      </c>
    </row>
    <row r="25" spans="1:6" x14ac:dyDescent="0.2">
      <c r="A25" s="7" t="str">
        <f t="shared" si="0"/>
        <v>OpinionWay</v>
      </c>
      <c r="D25" s="11">
        <f>IF(D12="","",ABS(D12-D7))</f>
        <v>1.5499999999999972</v>
      </c>
      <c r="E25" s="11">
        <f>IF(E12="","",ABS(E12-E7))</f>
        <v>1.5499999999999972</v>
      </c>
      <c r="F25" s="12">
        <f t="shared" si="1"/>
        <v>1.5499999999999972</v>
      </c>
    </row>
    <row r="26" spans="1:6" x14ac:dyDescent="0.2">
      <c r="A26" s="7" t="str">
        <f t="shared" si="0"/>
        <v>Odoxa</v>
      </c>
      <c r="D26" s="11">
        <f>IF(D13="","",ABS(D13-D7))</f>
        <v>5.5499999999999972</v>
      </c>
      <c r="E26" s="11">
        <f>IF(E13="","",ABS(E13-E7))</f>
        <v>5.5499999999999972</v>
      </c>
      <c r="F26" s="12">
        <f t="shared" si="1"/>
        <v>5.5499999999999972</v>
      </c>
    </row>
    <row r="27" spans="1:6" x14ac:dyDescent="0.2">
      <c r="A27" s="7" t="str">
        <f t="shared" si="0"/>
        <v>BVA</v>
      </c>
      <c r="D27" s="11">
        <f>IF(D14="","",ABS(D14-D7))</f>
        <v>3.0499999999999972</v>
      </c>
      <c r="E27" s="11">
        <f>IF(E14="","",ABS(E14-E7))</f>
        <v>3.0499999999999972</v>
      </c>
      <c r="F27" s="12">
        <f t="shared" si="1"/>
        <v>3.0499999999999972</v>
      </c>
    </row>
    <row r="28" spans="1:6" x14ac:dyDescent="0.2">
      <c r="A28" s="7" t="str">
        <f t="shared" si="0"/>
        <v>Cluster17</v>
      </c>
      <c r="D28" s="11">
        <f>IF(D15="","",ABS(D15-D7))</f>
        <v>5.0499999999999972</v>
      </c>
      <c r="E28" s="11">
        <f>IF(E15="","",ABS(E15-E7))</f>
        <v>5.0499999999999972</v>
      </c>
      <c r="F28" s="12">
        <f t="shared" si="1"/>
        <v>5.0499999999999972</v>
      </c>
    </row>
    <row r="29" spans="1:6" x14ac:dyDescent="0.2">
      <c r="A29" s="7" t="str">
        <f t="shared" si="0"/>
        <v>Kantar</v>
      </c>
      <c r="D29" s="11">
        <f>IF(D16="","",ABS(D16-D7))</f>
        <v>3.5499999999999972</v>
      </c>
      <c r="E29" s="11">
        <f>IF(E16="","",ABS(E16-E7))</f>
        <v>3.5499999999999972</v>
      </c>
      <c r="F29" s="12">
        <f t="shared" si="1"/>
        <v>3.5499999999999972</v>
      </c>
    </row>
    <row r="30" spans="1:6" x14ac:dyDescent="0.2">
      <c r="A30" s="7">
        <f t="shared" si="0"/>
        <v>0</v>
      </c>
      <c r="D30" s="11" t="str">
        <f>IF(D17="","",ABS(D17-D7))</f>
        <v/>
      </c>
      <c r="E30" s="11" t="str">
        <f>IF(E17="","",ABS(E17-E7))</f>
        <v/>
      </c>
      <c r="F30" s="12" t="str">
        <f t="shared" si="1"/>
        <v/>
      </c>
    </row>
    <row r="32" spans="1:6" x14ac:dyDescent="0.2">
      <c r="A32" s="1" t="s">
        <v>24</v>
      </c>
    </row>
    <row r="33" spans="1:1" x14ac:dyDescent="0.2">
      <c r="A33" s="13" t="s">
        <v>25</v>
      </c>
    </row>
    <row r="34" spans="1:1" x14ac:dyDescent="0.2">
      <c r="A34" s="14" t="s">
        <v>26</v>
      </c>
    </row>
    <row r="35" spans="1:1" x14ac:dyDescent="0.2">
      <c r="A35" s="15" t="s">
        <v>27</v>
      </c>
    </row>
    <row r="36" spans="1:1" x14ac:dyDescent="0.2">
      <c r="A36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zoomScaleNormal="100" workbookViewId="0">
      <selection activeCell="D30" sqref="D30"/>
    </sheetView>
  </sheetViews>
  <sheetFormatPr baseColWidth="10" defaultColWidth="8.6640625" defaultRowHeight="15" x14ac:dyDescent="0.2"/>
  <cols>
    <col min="1" max="1" width="22" customWidth="1"/>
    <col min="2" max="9" width="14" customWidth="1"/>
  </cols>
  <sheetData>
    <row r="1" spans="1:8" x14ac:dyDescent="0.2">
      <c r="A1" s="1" t="s">
        <v>0</v>
      </c>
      <c r="B1" s="2" t="s">
        <v>52</v>
      </c>
    </row>
    <row r="2" spans="1:8" x14ac:dyDescent="0.2">
      <c r="A2" s="1" t="s">
        <v>2</v>
      </c>
      <c r="B2" s="22" t="s">
        <v>53</v>
      </c>
    </row>
    <row r="3" spans="1:8" x14ac:dyDescent="0.2">
      <c r="A3" s="1" t="s">
        <v>3</v>
      </c>
      <c r="B3" s="2" t="s">
        <v>4</v>
      </c>
    </row>
    <row r="4" spans="1:8" x14ac:dyDescent="0.2">
      <c r="A4" s="1" t="s">
        <v>5</v>
      </c>
      <c r="B4" s="2">
        <v>1</v>
      </c>
    </row>
    <row r="6" spans="1:8" x14ac:dyDescent="0.2">
      <c r="A6" s="3" t="s">
        <v>6</v>
      </c>
      <c r="B6" s="3" t="s">
        <v>7</v>
      </c>
      <c r="C6" s="3" t="s">
        <v>8</v>
      </c>
      <c r="D6" s="3" t="s">
        <v>54</v>
      </c>
      <c r="E6" s="3" t="s">
        <v>49</v>
      </c>
      <c r="F6" s="3" t="s">
        <v>55</v>
      </c>
      <c r="G6" s="3" t="s">
        <v>50</v>
      </c>
      <c r="H6" s="3" t="s">
        <v>56</v>
      </c>
    </row>
    <row r="7" spans="1:8" x14ac:dyDescent="0.2">
      <c r="A7" s="4" t="s">
        <v>14</v>
      </c>
      <c r="B7" s="5" t="s">
        <v>53</v>
      </c>
      <c r="C7" s="5" t="s">
        <v>15</v>
      </c>
      <c r="D7" s="6">
        <v>21.95</v>
      </c>
      <c r="E7" s="6">
        <v>27.85</v>
      </c>
      <c r="F7" s="6">
        <v>4.78</v>
      </c>
      <c r="G7" s="6">
        <v>23.15</v>
      </c>
      <c r="H7" s="6">
        <v>7.07</v>
      </c>
    </row>
    <row r="8" spans="1:8" x14ac:dyDescent="0.2">
      <c r="A8" s="7" t="s">
        <v>16</v>
      </c>
      <c r="B8" s="19">
        <v>44658</v>
      </c>
      <c r="C8" s="9">
        <v>3010</v>
      </c>
      <c r="D8" s="8">
        <v>17.5</v>
      </c>
      <c r="E8" s="8">
        <v>26.5</v>
      </c>
      <c r="F8" s="8">
        <v>9</v>
      </c>
      <c r="G8" s="8">
        <v>24</v>
      </c>
      <c r="H8" s="8">
        <v>8.5</v>
      </c>
    </row>
    <row r="9" spans="1:8" x14ac:dyDescent="0.2">
      <c r="A9" s="7" t="s">
        <v>17</v>
      </c>
      <c r="B9" s="19">
        <v>44659</v>
      </c>
      <c r="C9" s="9">
        <v>7321</v>
      </c>
      <c r="D9" s="8">
        <v>17.5</v>
      </c>
      <c r="E9" s="8">
        <v>26.5</v>
      </c>
      <c r="F9" s="8">
        <v>8.5</v>
      </c>
      <c r="G9" s="8">
        <v>22.5</v>
      </c>
      <c r="H9" s="8">
        <v>9</v>
      </c>
    </row>
    <row r="10" spans="1:8" x14ac:dyDescent="0.2">
      <c r="A10" s="7" t="s">
        <v>34</v>
      </c>
      <c r="B10" s="19">
        <v>44659</v>
      </c>
      <c r="C10" s="9">
        <v>1801</v>
      </c>
      <c r="D10" s="8">
        <v>17.5</v>
      </c>
      <c r="E10" s="8">
        <v>26</v>
      </c>
      <c r="F10" s="8">
        <v>8</v>
      </c>
      <c r="G10" s="8">
        <v>25</v>
      </c>
      <c r="H10" s="8">
        <v>8.5</v>
      </c>
    </row>
    <row r="11" spans="1:8" x14ac:dyDescent="0.2">
      <c r="A11" s="7" t="s">
        <v>19</v>
      </c>
      <c r="B11" s="19">
        <v>44659</v>
      </c>
      <c r="C11" s="9">
        <v>2113</v>
      </c>
      <c r="D11" s="8">
        <v>18</v>
      </c>
      <c r="E11" s="8">
        <v>27</v>
      </c>
      <c r="F11" s="8">
        <v>8</v>
      </c>
      <c r="G11" s="8">
        <v>24</v>
      </c>
      <c r="H11" s="8">
        <v>8.5</v>
      </c>
    </row>
    <row r="12" spans="1:8" x14ac:dyDescent="0.2">
      <c r="A12" s="7" t="s">
        <v>20</v>
      </c>
      <c r="B12" s="19">
        <v>44658</v>
      </c>
      <c r="C12" s="9">
        <v>44658</v>
      </c>
      <c r="D12" s="8">
        <v>17</v>
      </c>
      <c r="E12" s="8">
        <v>25</v>
      </c>
      <c r="F12" s="8">
        <v>9</v>
      </c>
      <c r="G12" s="8">
        <v>22</v>
      </c>
      <c r="H12" s="8">
        <v>9</v>
      </c>
    </row>
    <row r="13" spans="1:8" x14ac:dyDescent="0.2">
      <c r="A13" s="7" t="s">
        <v>35</v>
      </c>
      <c r="B13" s="19">
        <v>44657</v>
      </c>
      <c r="C13" s="9">
        <v>1897</v>
      </c>
      <c r="D13" s="8">
        <v>16</v>
      </c>
      <c r="E13" s="8">
        <v>28</v>
      </c>
      <c r="F13" s="8">
        <v>7</v>
      </c>
      <c r="G13" s="8">
        <v>24</v>
      </c>
      <c r="H13" s="8">
        <v>8</v>
      </c>
    </row>
    <row r="14" spans="1:8" x14ac:dyDescent="0.2">
      <c r="A14" s="7" t="s">
        <v>21</v>
      </c>
      <c r="B14" s="19">
        <v>44658</v>
      </c>
      <c r="C14" s="9">
        <v>1501</v>
      </c>
      <c r="D14" s="8">
        <v>17.5</v>
      </c>
      <c r="E14" s="8">
        <v>26</v>
      </c>
      <c r="F14" s="8">
        <v>8.5</v>
      </c>
      <c r="G14" s="8">
        <v>23</v>
      </c>
      <c r="H14" s="8">
        <v>9.5</v>
      </c>
    </row>
    <row r="15" spans="1:8" x14ac:dyDescent="0.2">
      <c r="A15" s="7" t="s">
        <v>36</v>
      </c>
      <c r="B15" s="19">
        <v>44659</v>
      </c>
      <c r="C15" s="9">
        <v>3097</v>
      </c>
      <c r="D15" s="8">
        <v>18</v>
      </c>
      <c r="E15" s="8">
        <v>26</v>
      </c>
      <c r="F15" s="8">
        <v>9.5</v>
      </c>
      <c r="G15" s="8">
        <v>21</v>
      </c>
      <c r="H15" s="8">
        <v>9.5</v>
      </c>
    </row>
    <row r="16" spans="1:8" x14ac:dyDescent="0.2">
      <c r="A16" s="21" t="s">
        <v>43</v>
      </c>
      <c r="B16" s="19">
        <v>44658</v>
      </c>
      <c r="C16" s="9">
        <v>1984</v>
      </c>
      <c r="D16" s="8">
        <v>16</v>
      </c>
      <c r="E16" s="8">
        <v>26</v>
      </c>
      <c r="F16" s="8">
        <v>6</v>
      </c>
      <c r="G16" s="8">
        <v>23</v>
      </c>
      <c r="H16" s="8">
        <v>13</v>
      </c>
    </row>
    <row r="17" spans="1:9" x14ac:dyDescent="0.2">
      <c r="A17" s="21" t="s">
        <v>51</v>
      </c>
      <c r="B17" s="19">
        <v>44656</v>
      </c>
      <c r="C17" s="9">
        <v>1394</v>
      </c>
      <c r="D17" s="8">
        <v>16</v>
      </c>
      <c r="E17" s="8">
        <v>25</v>
      </c>
      <c r="F17" s="8">
        <v>8</v>
      </c>
      <c r="G17" s="8">
        <v>23</v>
      </c>
      <c r="H17" s="8">
        <v>11</v>
      </c>
    </row>
    <row r="19" spans="1:9" ht="16" customHeight="1" x14ac:dyDescent="0.2">
      <c r="A19" s="10" t="s">
        <v>22</v>
      </c>
    </row>
    <row r="20" spans="1:9" x14ac:dyDescent="0.2">
      <c r="A20" s="3" t="s">
        <v>6</v>
      </c>
      <c r="B20" s="3"/>
      <c r="C20" s="3"/>
      <c r="D20" s="3" t="str">
        <f>D6</f>
        <v>Mélenchon</v>
      </c>
      <c r="E20" s="3" t="str">
        <f>E6</f>
        <v>Macron</v>
      </c>
      <c r="F20" s="3" t="str">
        <f>F6</f>
        <v>Pécresse</v>
      </c>
      <c r="G20" s="3" t="str">
        <f>G6</f>
        <v>Le Pen</v>
      </c>
      <c r="H20" s="3" t="str">
        <f>H6</f>
        <v>Zemmour</v>
      </c>
      <c r="I20" s="3" t="s">
        <v>23</v>
      </c>
    </row>
    <row r="21" spans="1:9" x14ac:dyDescent="0.2">
      <c r="A21" s="7" t="str">
        <f t="shared" ref="A21:A30" si="0">A8</f>
        <v>Ifop</v>
      </c>
      <c r="D21" s="11">
        <f>IF(D8="","",ABS(D8-D7))</f>
        <v>4.4499999999999993</v>
      </c>
      <c r="E21" s="11">
        <f>IF(E8="","",ABS(E8-E7))</f>
        <v>1.3500000000000014</v>
      </c>
      <c r="F21" s="11">
        <f>IF(F8="","",ABS(F8-F7))</f>
        <v>4.22</v>
      </c>
      <c r="G21" s="11">
        <f>IF(G8="","",ABS(G8-G7))</f>
        <v>0.85000000000000142</v>
      </c>
      <c r="H21" s="11">
        <f>IF(H8="","",ABS(H8-H7))</f>
        <v>1.4299999999999997</v>
      </c>
      <c r="I21" s="12">
        <f t="shared" ref="I21:I30" si="1">IF(COUNTA(D8:H8)=0,"",AVERAGE(D21:H21))</f>
        <v>2.46</v>
      </c>
    </row>
    <row r="22" spans="1:9" x14ac:dyDescent="0.2">
      <c r="A22" s="7" t="str">
        <f t="shared" si="0"/>
        <v>Ipsos</v>
      </c>
      <c r="D22" s="11">
        <f>IF(D9="","",ABS(D9-D7))</f>
        <v>4.4499999999999993</v>
      </c>
      <c r="E22" s="11">
        <f>IF(E9="","",ABS(E9-E7))</f>
        <v>1.3500000000000014</v>
      </c>
      <c r="F22" s="11">
        <f>IF(F9="","",ABS(F9-F7))</f>
        <v>3.7199999999999998</v>
      </c>
      <c r="G22" s="11">
        <f>IF(G9="","",ABS(G9-G7))</f>
        <v>0.64999999999999858</v>
      </c>
      <c r="H22" s="11">
        <f>IF(H9="","",ABS(H9-H7))</f>
        <v>1.9299999999999997</v>
      </c>
      <c r="I22" s="12">
        <f t="shared" si="1"/>
        <v>2.4199999999999995</v>
      </c>
    </row>
    <row r="23" spans="1:9" x14ac:dyDescent="0.2">
      <c r="A23" s="7" t="str">
        <f t="shared" si="0"/>
        <v>Elabe</v>
      </c>
      <c r="D23" s="11">
        <f>IF(D10="","",ABS(D10-D7))</f>
        <v>4.4499999999999993</v>
      </c>
      <c r="E23" s="11">
        <f>IF(E10="","",ABS(E10-E7))</f>
        <v>1.8500000000000014</v>
      </c>
      <c r="F23" s="11">
        <f>IF(F10="","",ABS(F10-F7))</f>
        <v>3.2199999999999998</v>
      </c>
      <c r="G23" s="11">
        <f>IF(G10="","",ABS(G10-G7))</f>
        <v>1.8500000000000014</v>
      </c>
      <c r="H23" s="11">
        <f>IF(H10="","",ABS(H10-H7))</f>
        <v>1.4299999999999997</v>
      </c>
      <c r="I23" s="12">
        <f t="shared" si="1"/>
        <v>2.56</v>
      </c>
    </row>
    <row r="24" spans="1:9" x14ac:dyDescent="0.2">
      <c r="A24" s="7" t="str">
        <f t="shared" si="0"/>
        <v>Harris Interactive</v>
      </c>
      <c r="D24" s="11">
        <f>IF(D11="","",ABS(D11-D7))</f>
        <v>3.9499999999999993</v>
      </c>
      <c r="E24" s="11">
        <f>IF(E11="","",ABS(E11-E7))</f>
        <v>0.85000000000000142</v>
      </c>
      <c r="F24" s="11">
        <f>IF(F11="","",ABS(F11-F7))</f>
        <v>3.2199999999999998</v>
      </c>
      <c r="G24" s="11">
        <f>IF(G11="","",ABS(G11-G7))</f>
        <v>0.85000000000000142</v>
      </c>
      <c r="H24" s="11">
        <f>IF(H11="","",ABS(H11-H7))</f>
        <v>1.4299999999999997</v>
      </c>
      <c r="I24" s="12">
        <f t="shared" si="1"/>
        <v>2.06</v>
      </c>
    </row>
    <row r="25" spans="1:9" x14ac:dyDescent="0.2">
      <c r="A25" s="7" t="str">
        <f t="shared" si="0"/>
        <v>OpinionWay</v>
      </c>
      <c r="D25" s="11">
        <f>IF(D12="","",ABS(D12-D7))</f>
        <v>4.9499999999999993</v>
      </c>
      <c r="E25" s="11">
        <f>IF(E12="","",ABS(E12-E7))</f>
        <v>2.8500000000000014</v>
      </c>
      <c r="F25" s="11">
        <f>IF(F12="","",ABS(F12-F7))</f>
        <v>4.22</v>
      </c>
      <c r="G25" s="11">
        <f>IF(G12="","",ABS(G12-G7))</f>
        <v>1.1499999999999986</v>
      </c>
      <c r="H25" s="11">
        <f>IF(H12="","",ABS(H12-H7))</f>
        <v>1.9299999999999997</v>
      </c>
      <c r="I25" s="12">
        <f t="shared" si="1"/>
        <v>3.0199999999999996</v>
      </c>
    </row>
    <row r="26" spans="1:9" x14ac:dyDescent="0.2">
      <c r="A26" s="7" t="str">
        <f t="shared" si="0"/>
        <v>Odoxa</v>
      </c>
      <c r="D26" s="11">
        <f>IF(D13="","",ABS(D13-D7))</f>
        <v>5.9499999999999993</v>
      </c>
      <c r="E26" s="11">
        <f>IF(E13="","",ABS(E13-E7))</f>
        <v>0.14999999999999858</v>
      </c>
      <c r="F26" s="11">
        <f>IF(F13="","",ABS(F13-F7))</f>
        <v>2.2199999999999998</v>
      </c>
      <c r="G26" s="11">
        <f>IF(G13="","",ABS(G13-G7))</f>
        <v>0.85000000000000142</v>
      </c>
      <c r="H26" s="11">
        <f>IF(H13="","",ABS(H13-H7))</f>
        <v>0.92999999999999972</v>
      </c>
      <c r="I26" s="12">
        <f t="shared" si="1"/>
        <v>2.0199999999999996</v>
      </c>
    </row>
    <row r="27" spans="1:9" x14ac:dyDescent="0.2">
      <c r="A27" s="7" t="str">
        <f t="shared" si="0"/>
        <v>BVA</v>
      </c>
      <c r="D27" s="11">
        <f>IF(D14="","",ABS(D14-D7))</f>
        <v>4.4499999999999993</v>
      </c>
      <c r="E27" s="11">
        <f>IF(E14="","",ABS(E14-E7))</f>
        <v>1.8500000000000014</v>
      </c>
      <c r="F27" s="11">
        <f>IF(F14="","",ABS(F14-F7))</f>
        <v>3.7199999999999998</v>
      </c>
      <c r="G27" s="11">
        <f>IF(G14="","",ABS(G14-G7))</f>
        <v>0.14999999999999858</v>
      </c>
      <c r="H27" s="11">
        <f>IF(H14="","",ABS(H14-H7))</f>
        <v>2.4299999999999997</v>
      </c>
      <c r="I27" s="12">
        <f t="shared" si="1"/>
        <v>2.5199999999999996</v>
      </c>
    </row>
    <row r="28" spans="1:9" x14ac:dyDescent="0.2">
      <c r="A28" s="7" t="str">
        <f t="shared" si="0"/>
        <v>Cluster17</v>
      </c>
      <c r="D28" s="11">
        <f>IF(D15="","",ABS(D15-D7))</f>
        <v>3.9499999999999993</v>
      </c>
      <c r="E28" s="11">
        <f>IF(E15="","",ABS(E15-E7))</f>
        <v>1.8500000000000014</v>
      </c>
      <c r="F28" s="11">
        <f>IF(F15="","",ABS(F15-F7))</f>
        <v>4.72</v>
      </c>
      <c r="G28" s="11">
        <f>IF(G15="","",ABS(G15-G7))</f>
        <v>2.1499999999999986</v>
      </c>
      <c r="H28" s="11">
        <f>IF(H15="","",ABS(H15-H7))</f>
        <v>2.4299999999999997</v>
      </c>
      <c r="I28" s="12">
        <f t="shared" si="1"/>
        <v>3.0199999999999996</v>
      </c>
    </row>
    <row r="29" spans="1:9" x14ac:dyDescent="0.2">
      <c r="A29" s="7" t="str">
        <f t="shared" si="0"/>
        <v>YouGov</v>
      </c>
      <c r="D29" s="11">
        <f>IF(D16="","",ABS(D16-D7))</f>
        <v>5.9499999999999993</v>
      </c>
      <c r="E29" s="11">
        <f>IF(E16="","",ABS(E16-E7))</f>
        <v>1.8500000000000014</v>
      </c>
      <c r="F29" s="11">
        <f>IF(F16="","",ABS(F16-F7))</f>
        <v>1.2199999999999998</v>
      </c>
      <c r="G29" s="11">
        <f>IF(G16="","",ABS(G16-G7))</f>
        <v>0.14999999999999858</v>
      </c>
      <c r="H29" s="11">
        <f>IF(H16="","",ABS(H16-H7))</f>
        <v>5.93</v>
      </c>
      <c r="I29" s="12">
        <f t="shared" si="1"/>
        <v>3.0199999999999996</v>
      </c>
    </row>
    <row r="30" spans="1:9" x14ac:dyDescent="0.2">
      <c r="A30" s="7" t="str">
        <f t="shared" si="0"/>
        <v>Kantar</v>
      </c>
      <c r="D30" s="11">
        <f>IF(D17="","",ABS(D17-D7))</f>
        <v>5.9499999999999993</v>
      </c>
      <c r="E30" s="11">
        <f>IF(E17="","",ABS(E17-E7))</f>
        <v>2.8500000000000014</v>
      </c>
      <c r="F30" s="11">
        <f>IF(F17="","",ABS(F17-F7))</f>
        <v>3.2199999999999998</v>
      </c>
      <c r="G30" s="11">
        <f>IF(G17="","",ABS(G17-G7))</f>
        <v>0.14999999999999858</v>
      </c>
      <c r="H30" s="11">
        <f>IF(H17="","",ABS(H17-H7))</f>
        <v>3.9299999999999997</v>
      </c>
      <c r="I30" s="12">
        <f t="shared" si="1"/>
        <v>3.2199999999999998</v>
      </c>
    </row>
    <row r="32" spans="1:9" x14ac:dyDescent="0.2">
      <c r="A32" s="1" t="s">
        <v>24</v>
      </c>
    </row>
    <row r="33" spans="1:1" x14ac:dyDescent="0.2">
      <c r="A33" s="13" t="s">
        <v>25</v>
      </c>
    </row>
    <row r="34" spans="1:1" x14ac:dyDescent="0.2">
      <c r="A34" s="14" t="s">
        <v>26</v>
      </c>
    </row>
    <row r="35" spans="1:1" x14ac:dyDescent="0.2">
      <c r="A35" s="15" t="s">
        <v>27</v>
      </c>
    </row>
    <row r="36" spans="1:1" x14ac:dyDescent="0.2">
      <c r="A36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zoomScaleNormal="100" workbookViewId="0">
      <selection activeCell="J24" sqref="J24"/>
    </sheetView>
  </sheetViews>
  <sheetFormatPr baseColWidth="10" defaultColWidth="8.6640625" defaultRowHeight="15" x14ac:dyDescent="0.2"/>
  <cols>
    <col min="1" max="1" width="44" bestFit="1" customWidth="1"/>
    <col min="2" max="10" width="14" customWidth="1"/>
  </cols>
  <sheetData>
    <row r="1" spans="1:9" x14ac:dyDescent="0.2">
      <c r="A1" s="1" t="s">
        <v>0</v>
      </c>
      <c r="B1" s="17" t="s">
        <v>57</v>
      </c>
    </row>
    <row r="2" spans="1:9" x14ac:dyDescent="0.2">
      <c r="A2" s="1" t="s">
        <v>2</v>
      </c>
      <c r="B2" s="18">
        <v>43611</v>
      </c>
    </row>
    <row r="3" spans="1:9" x14ac:dyDescent="0.2">
      <c r="A3" s="1" t="s">
        <v>3</v>
      </c>
      <c r="B3" s="24" t="s">
        <v>38</v>
      </c>
    </row>
    <row r="4" spans="1:9" x14ac:dyDescent="0.2">
      <c r="A4" s="1" t="s">
        <v>5</v>
      </c>
      <c r="B4" s="2">
        <v>1</v>
      </c>
    </row>
    <row r="6" spans="1:9" x14ac:dyDescent="0.2">
      <c r="A6" s="3" t="s">
        <v>6</v>
      </c>
      <c r="B6" s="3" t="s">
        <v>7</v>
      </c>
      <c r="C6" s="3" t="s">
        <v>58</v>
      </c>
      <c r="D6" s="3" t="s">
        <v>39</v>
      </c>
      <c r="E6" s="3" t="s">
        <v>40</v>
      </c>
      <c r="F6" s="3" t="s">
        <v>10</v>
      </c>
      <c r="G6" s="3" t="s">
        <v>59</v>
      </c>
      <c r="H6" s="3" t="s">
        <v>32</v>
      </c>
      <c r="I6" s="3" t="s">
        <v>42</v>
      </c>
    </row>
    <row r="7" spans="1:9" x14ac:dyDescent="0.2">
      <c r="A7" s="4" t="s">
        <v>14</v>
      </c>
      <c r="B7" s="20">
        <v>43611</v>
      </c>
      <c r="C7" s="5" t="s">
        <v>15</v>
      </c>
      <c r="D7" s="6">
        <v>6.31</v>
      </c>
      <c r="E7" s="6">
        <v>6.19</v>
      </c>
      <c r="F7" s="6">
        <v>13.48</v>
      </c>
      <c r="G7" s="6">
        <v>22.41</v>
      </c>
      <c r="H7" s="6">
        <v>8.48</v>
      </c>
      <c r="I7" s="6">
        <v>23.33</v>
      </c>
    </row>
    <row r="8" spans="1:9" x14ac:dyDescent="0.2">
      <c r="A8" s="21" t="s">
        <v>16</v>
      </c>
      <c r="B8" s="19">
        <v>43609</v>
      </c>
      <c r="C8" s="9">
        <v>2773</v>
      </c>
      <c r="D8" s="8">
        <v>7.5</v>
      </c>
      <c r="E8" s="8">
        <v>5.5</v>
      </c>
      <c r="F8" s="8">
        <v>8</v>
      </c>
      <c r="G8" s="8">
        <v>23</v>
      </c>
      <c r="H8" s="8">
        <v>13.5</v>
      </c>
      <c r="I8" s="8">
        <v>25.5</v>
      </c>
    </row>
    <row r="9" spans="1:9" x14ac:dyDescent="0.2">
      <c r="A9" s="7" t="s">
        <v>34</v>
      </c>
      <c r="B9" s="19">
        <v>43609</v>
      </c>
      <c r="C9" s="9">
        <v>2010</v>
      </c>
      <c r="D9" s="8">
        <v>8.5</v>
      </c>
      <c r="E9" s="8">
        <v>4.5</v>
      </c>
      <c r="F9" s="8">
        <v>9</v>
      </c>
      <c r="G9" s="8">
        <v>22.5</v>
      </c>
      <c r="H9" s="8">
        <v>13</v>
      </c>
      <c r="I9" s="8">
        <v>25</v>
      </c>
    </row>
    <row r="10" spans="1:9" x14ac:dyDescent="0.2">
      <c r="A10" s="7" t="s">
        <v>19</v>
      </c>
      <c r="B10" s="19">
        <v>43609</v>
      </c>
      <c r="C10" s="9">
        <v>1015</v>
      </c>
      <c r="D10" s="8">
        <v>9</v>
      </c>
      <c r="E10" s="8">
        <v>5</v>
      </c>
      <c r="F10" s="8">
        <v>7.5</v>
      </c>
      <c r="G10" s="8">
        <v>22.5</v>
      </c>
      <c r="H10" s="8">
        <v>12</v>
      </c>
      <c r="I10" s="8">
        <v>25</v>
      </c>
    </row>
    <row r="11" spans="1:9" x14ac:dyDescent="0.2">
      <c r="A11" s="7" t="s">
        <v>17</v>
      </c>
      <c r="B11" s="19">
        <v>43608</v>
      </c>
      <c r="C11" s="9">
        <v>3355</v>
      </c>
      <c r="D11" s="8">
        <v>7.5</v>
      </c>
      <c r="E11" s="8">
        <v>5.5</v>
      </c>
      <c r="F11" s="8">
        <v>9</v>
      </c>
      <c r="G11" s="8">
        <v>23</v>
      </c>
      <c r="H11" s="8">
        <v>13</v>
      </c>
      <c r="I11" s="8">
        <v>24.5</v>
      </c>
    </row>
    <row r="12" spans="1:9" x14ac:dyDescent="0.2">
      <c r="A12" s="7" t="s">
        <v>20</v>
      </c>
      <c r="B12" s="19">
        <v>43607</v>
      </c>
      <c r="C12" s="9">
        <v>2914</v>
      </c>
      <c r="D12" s="8">
        <v>8</v>
      </c>
      <c r="E12" s="8">
        <v>6</v>
      </c>
      <c r="F12" s="8">
        <v>9</v>
      </c>
      <c r="G12" s="8">
        <v>23</v>
      </c>
      <c r="H12" s="8">
        <v>13</v>
      </c>
      <c r="I12" s="8">
        <v>25</v>
      </c>
    </row>
    <row r="13" spans="1:9" x14ac:dyDescent="0.2">
      <c r="A13" s="21" t="s">
        <v>21</v>
      </c>
      <c r="B13" s="19">
        <v>43606</v>
      </c>
      <c r="C13" s="9">
        <v>1347</v>
      </c>
      <c r="D13" s="8">
        <v>8.5</v>
      </c>
      <c r="E13" s="8">
        <v>5</v>
      </c>
      <c r="F13" s="8">
        <v>8</v>
      </c>
      <c r="G13" s="8">
        <v>22</v>
      </c>
      <c r="H13" s="8">
        <v>13</v>
      </c>
      <c r="I13" s="8">
        <v>23</v>
      </c>
    </row>
    <row r="14" spans="1:9" x14ac:dyDescent="0.2">
      <c r="A14" s="21" t="s">
        <v>51</v>
      </c>
      <c r="B14" s="19">
        <v>43593</v>
      </c>
      <c r="C14" s="9">
        <v>2010</v>
      </c>
      <c r="D14" s="8">
        <v>8</v>
      </c>
      <c r="E14" s="8">
        <v>5</v>
      </c>
      <c r="F14" s="8">
        <v>8</v>
      </c>
      <c r="G14" s="8">
        <v>20</v>
      </c>
      <c r="H14" s="8">
        <v>14</v>
      </c>
      <c r="I14" s="8">
        <v>23</v>
      </c>
    </row>
    <row r="16" spans="1:9" ht="16" customHeight="1" x14ac:dyDescent="0.2">
      <c r="A16" s="10" t="s">
        <v>22</v>
      </c>
    </row>
    <row r="17" spans="1:10" x14ac:dyDescent="0.2">
      <c r="A17" s="3" t="s">
        <v>6</v>
      </c>
      <c r="B17" s="3"/>
      <c r="C17" s="3"/>
      <c r="D17" s="3" t="str">
        <f t="shared" ref="D17:I17" si="0">D6</f>
        <v>LFI</v>
      </c>
      <c r="E17" s="3" t="str">
        <f t="shared" si="0"/>
        <v>PS-PP</v>
      </c>
      <c r="F17" s="3" t="str">
        <f t="shared" si="0"/>
        <v>EELV</v>
      </c>
      <c r="G17" s="3" t="str">
        <f t="shared" si="0"/>
        <v>LREM</v>
      </c>
      <c r="H17" s="3" t="str">
        <f t="shared" si="0"/>
        <v>LR</v>
      </c>
      <c r="I17" s="3" t="str">
        <f t="shared" si="0"/>
        <v>RN</v>
      </c>
      <c r="J17" s="3" t="s">
        <v>23</v>
      </c>
    </row>
    <row r="18" spans="1:10" x14ac:dyDescent="0.2">
      <c r="A18" s="7" t="str">
        <f>A8</f>
        <v>Ifop</v>
      </c>
      <c r="D18" s="11">
        <f t="shared" ref="D18:I18" si="1">IF(D8="","",ABS(D8-D7))</f>
        <v>1.1900000000000004</v>
      </c>
      <c r="E18" s="11">
        <f t="shared" si="1"/>
        <v>0.69000000000000039</v>
      </c>
      <c r="F18" s="11">
        <f t="shared" si="1"/>
        <v>5.48</v>
      </c>
      <c r="G18" s="11">
        <f t="shared" si="1"/>
        <v>0.58999999999999986</v>
      </c>
      <c r="H18" s="11">
        <f t="shared" si="1"/>
        <v>5.0199999999999996</v>
      </c>
      <c r="I18" s="11">
        <f t="shared" si="1"/>
        <v>2.1700000000000017</v>
      </c>
      <c r="J18" s="12">
        <f t="shared" ref="J18:J24" si="2">IF(COUNTA(D8:I8)=0,"",AVERAGE(D18:I18))</f>
        <v>2.5233333333333339</v>
      </c>
    </row>
    <row r="19" spans="1:10" x14ac:dyDescent="0.2">
      <c r="A19" s="7" t="str">
        <f>A9</f>
        <v>Elabe</v>
      </c>
      <c r="D19" s="11">
        <f t="shared" ref="D19:I19" si="3">IF(D9="","",ABS(D9-D7))</f>
        <v>2.1900000000000004</v>
      </c>
      <c r="E19" s="11">
        <f t="shared" si="3"/>
        <v>1.6900000000000004</v>
      </c>
      <c r="F19" s="11">
        <f t="shared" si="3"/>
        <v>4.4800000000000004</v>
      </c>
      <c r="G19" s="11">
        <f t="shared" si="3"/>
        <v>8.9999999999999858E-2</v>
      </c>
      <c r="H19" s="11">
        <f t="shared" si="3"/>
        <v>4.5199999999999996</v>
      </c>
      <c r="I19" s="11">
        <f t="shared" si="3"/>
        <v>1.6700000000000017</v>
      </c>
      <c r="J19" s="12">
        <f t="shared" si="2"/>
        <v>2.4400000000000004</v>
      </c>
    </row>
    <row r="20" spans="1:10" x14ac:dyDescent="0.2">
      <c r="A20" s="7" t="str">
        <f>A10</f>
        <v>Harris Interactive</v>
      </c>
      <c r="D20" s="11">
        <f t="shared" ref="D20:I20" si="4">IF(D10="","",ABS(D10-D7))</f>
        <v>2.6900000000000004</v>
      </c>
      <c r="E20" s="11">
        <f t="shared" si="4"/>
        <v>1.1900000000000004</v>
      </c>
      <c r="F20" s="11">
        <f t="shared" si="4"/>
        <v>5.98</v>
      </c>
      <c r="G20" s="11">
        <f t="shared" si="4"/>
        <v>8.9999999999999858E-2</v>
      </c>
      <c r="H20" s="11">
        <f t="shared" si="4"/>
        <v>3.5199999999999996</v>
      </c>
      <c r="I20" s="11">
        <f t="shared" si="4"/>
        <v>1.6700000000000017</v>
      </c>
      <c r="J20" s="12">
        <f t="shared" si="2"/>
        <v>2.5233333333333339</v>
      </c>
    </row>
    <row r="21" spans="1:10" x14ac:dyDescent="0.2">
      <c r="A21" s="7" t="str">
        <f>A11</f>
        <v>Ipsos</v>
      </c>
      <c r="D21" s="11">
        <f t="shared" ref="D21:I21" si="5">IF(D11="","",ABS(D11-D7))</f>
        <v>1.1900000000000004</v>
      </c>
      <c r="E21" s="11">
        <f t="shared" si="5"/>
        <v>0.69000000000000039</v>
      </c>
      <c r="F21" s="11">
        <f t="shared" si="5"/>
        <v>4.4800000000000004</v>
      </c>
      <c r="G21" s="11">
        <f t="shared" si="5"/>
        <v>0.58999999999999986</v>
      </c>
      <c r="H21" s="11">
        <f t="shared" si="5"/>
        <v>4.5199999999999996</v>
      </c>
      <c r="I21" s="11">
        <f t="shared" si="5"/>
        <v>1.1700000000000017</v>
      </c>
      <c r="J21" s="12">
        <f t="shared" si="2"/>
        <v>2.1066666666666669</v>
      </c>
    </row>
    <row r="22" spans="1:10" x14ac:dyDescent="0.2">
      <c r="A22" s="7" t="str">
        <f>A12</f>
        <v>OpinionWay</v>
      </c>
      <c r="D22" s="11">
        <f t="shared" ref="D22:I22" si="6">IF(D12="","",ABS(D12-D7))</f>
        <v>1.6900000000000004</v>
      </c>
      <c r="E22" s="11">
        <f t="shared" si="6"/>
        <v>0.19000000000000039</v>
      </c>
      <c r="F22" s="11">
        <f t="shared" si="6"/>
        <v>4.4800000000000004</v>
      </c>
      <c r="G22" s="11">
        <f t="shared" si="6"/>
        <v>0.58999999999999986</v>
      </c>
      <c r="H22" s="11">
        <f t="shared" si="6"/>
        <v>4.5199999999999996</v>
      </c>
      <c r="I22" s="11">
        <f t="shared" si="6"/>
        <v>1.6700000000000017</v>
      </c>
      <c r="J22" s="12">
        <f t="shared" si="2"/>
        <v>2.1900000000000004</v>
      </c>
    </row>
    <row r="23" spans="1:10" x14ac:dyDescent="0.2">
      <c r="A23" s="21" t="s">
        <v>47</v>
      </c>
      <c r="D23" s="11">
        <f t="shared" ref="D23:I23" si="7">IF(D13="","",ABS(D13-D7))</f>
        <v>2.1900000000000004</v>
      </c>
      <c r="E23" s="11">
        <f t="shared" si="7"/>
        <v>1.1900000000000004</v>
      </c>
      <c r="F23" s="11">
        <f t="shared" si="7"/>
        <v>5.48</v>
      </c>
      <c r="G23" s="11">
        <f t="shared" si="7"/>
        <v>0.41000000000000014</v>
      </c>
      <c r="H23" s="11">
        <f t="shared" si="7"/>
        <v>4.5199999999999996</v>
      </c>
      <c r="I23" s="11">
        <f t="shared" si="7"/>
        <v>0.32999999999999829</v>
      </c>
      <c r="J23" s="12">
        <f t="shared" si="2"/>
        <v>2.3533333333333331</v>
      </c>
    </row>
    <row r="24" spans="1:10" x14ac:dyDescent="0.2">
      <c r="A24" s="7" t="str">
        <f>A14</f>
        <v>Kantar</v>
      </c>
      <c r="D24" s="11">
        <f t="shared" ref="D24:I24" si="8">IF(D14="","",ABS(D14-D7))</f>
        <v>1.6900000000000004</v>
      </c>
      <c r="E24" s="11">
        <f t="shared" si="8"/>
        <v>1.1900000000000004</v>
      </c>
      <c r="F24" s="11">
        <f t="shared" si="8"/>
        <v>5.48</v>
      </c>
      <c r="G24" s="11">
        <f t="shared" si="8"/>
        <v>2.41</v>
      </c>
      <c r="H24" s="11">
        <f t="shared" si="8"/>
        <v>5.52</v>
      </c>
      <c r="I24" s="11">
        <f t="shared" si="8"/>
        <v>0.32999999999999829</v>
      </c>
      <c r="J24" s="12">
        <f t="shared" si="2"/>
        <v>2.7699999999999996</v>
      </c>
    </row>
    <row r="26" spans="1:10" x14ac:dyDescent="0.2">
      <c r="A26" s="1" t="s">
        <v>24</v>
      </c>
    </row>
    <row r="27" spans="1:10" x14ac:dyDescent="0.2">
      <c r="A27" s="13" t="s">
        <v>25</v>
      </c>
    </row>
    <row r="28" spans="1:10" x14ac:dyDescent="0.2">
      <c r="A28" s="14" t="s">
        <v>26</v>
      </c>
    </row>
    <row r="29" spans="1:10" x14ac:dyDescent="0.2">
      <c r="A29" s="15" t="s">
        <v>27</v>
      </c>
    </row>
    <row r="30" spans="1:10" x14ac:dyDescent="0.2">
      <c r="A30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zoomScaleNormal="100" workbookViewId="0">
      <selection activeCell="D26" sqref="D26"/>
    </sheetView>
  </sheetViews>
  <sheetFormatPr baseColWidth="10" defaultColWidth="8.6640625" defaultRowHeight="15" x14ac:dyDescent="0.2"/>
  <cols>
    <col min="1" max="1" width="44" bestFit="1" customWidth="1"/>
    <col min="2" max="9" width="14" customWidth="1"/>
  </cols>
  <sheetData>
    <row r="1" spans="1:8" x14ac:dyDescent="0.2">
      <c r="A1" s="1" t="s">
        <v>0</v>
      </c>
      <c r="B1" s="17" t="s">
        <v>45</v>
      </c>
    </row>
    <row r="2" spans="1:8" x14ac:dyDescent="0.2">
      <c r="A2" s="1" t="s">
        <v>2</v>
      </c>
      <c r="B2" s="18">
        <v>42897</v>
      </c>
    </row>
    <row r="3" spans="1:8" x14ac:dyDescent="0.2">
      <c r="A3" s="1" t="s">
        <v>3</v>
      </c>
      <c r="B3" s="2" t="s">
        <v>4</v>
      </c>
    </row>
    <row r="4" spans="1:8" x14ac:dyDescent="0.2">
      <c r="A4" s="1" t="s">
        <v>5</v>
      </c>
      <c r="B4" s="2">
        <v>0.5</v>
      </c>
    </row>
    <row r="6" spans="1:8" x14ac:dyDescent="0.2">
      <c r="A6" s="3" t="s">
        <v>6</v>
      </c>
      <c r="B6" s="3" t="s">
        <v>7</v>
      </c>
      <c r="C6" s="3" t="s">
        <v>8</v>
      </c>
      <c r="D6" s="3" t="s">
        <v>39</v>
      </c>
      <c r="E6" s="3" t="s">
        <v>11</v>
      </c>
      <c r="F6" s="3" t="s">
        <v>59</v>
      </c>
      <c r="G6" s="3" t="s">
        <v>32</v>
      </c>
      <c r="H6" s="3" t="s">
        <v>13</v>
      </c>
    </row>
    <row r="7" spans="1:8" x14ac:dyDescent="0.2">
      <c r="A7" s="4" t="s">
        <v>14</v>
      </c>
      <c r="B7" s="20">
        <v>42897</v>
      </c>
      <c r="C7" s="5" t="s">
        <v>15</v>
      </c>
      <c r="D7" s="6">
        <v>11.02</v>
      </c>
      <c r="E7" s="6">
        <v>7.91</v>
      </c>
      <c r="F7" s="6">
        <v>32.32</v>
      </c>
      <c r="G7" s="6">
        <v>18.8</v>
      </c>
      <c r="H7" s="6">
        <v>13.2</v>
      </c>
    </row>
    <row r="8" spans="1:8" x14ac:dyDescent="0.2">
      <c r="A8" s="7" t="s">
        <v>16</v>
      </c>
      <c r="B8" s="19">
        <v>42886</v>
      </c>
      <c r="C8" s="9">
        <v>2802</v>
      </c>
      <c r="D8" s="8">
        <v>12</v>
      </c>
      <c r="E8" s="8">
        <v>8</v>
      </c>
      <c r="F8" s="8">
        <v>31</v>
      </c>
      <c r="G8" s="8">
        <v>18</v>
      </c>
      <c r="H8" s="8">
        <v>17</v>
      </c>
    </row>
    <row r="9" spans="1:8" x14ac:dyDescent="0.2">
      <c r="A9" s="7" t="s">
        <v>17</v>
      </c>
      <c r="B9" s="19">
        <v>42894</v>
      </c>
      <c r="C9" s="9">
        <v>1995</v>
      </c>
      <c r="D9" s="8">
        <v>11.5</v>
      </c>
      <c r="E9" s="8">
        <v>8</v>
      </c>
      <c r="F9" s="8">
        <v>31.5</v>
      </c>
      <c r="G9" s="8">
        <v>22</v>
      </c>
      <c r="H9" s="8">
        <v>17</v>
      </c>
    </row>
    <row r="10" spans="1:8" x14ac:dyDescent="0.2">
      <c r="A10" s="7" t="s">
        <v>34</v>
      </c>
      <c r="B10" s="19" t="s">
        <v>60</v>
      </c>
      <c r="C10" s="9">
        <v>2001</v>
      </c>
      <c r="D10" s="8">
        <v>11</v>
      </c>
      <c r="E10" s="8">
        <v>9</v>
      </c>
      <c r="F10" s="8">
        <v>29</v>
      </c>
      <c r="G10" s="8">
        <v>23</v>
      </c>
      <c r="H10" s="8">
        <v>17</v>
      </c>
    </row>
    <row r="11" spans="1:8" x14ac:dyDescent="0.2">
      <c r="A11" s="7" t="s">
        <v>19</v>
      </c>
      <c r="B11" s="19">
        <v>42887</v>
      </c>
      <c r="C11" s="9">
        <v>1002</v>
      </c>
      <c r="D11" s="8">
        <v>11</v>
      </c>
      <c r="E11" s="8">
        <v>8</v>
      </c>
      <c r="F11" s="8">
        <v>31</v>
      </c>
      <c r="G11" s="8">
        <v>18</v>
      </c>
      <c r="H11" s="8">
        <v>18</v>
      </c>
    </row>
    <row r="12" spans="1:8" x14ac:dyDescent="0.2">
      <c r="A12" s="7" t="s">
        <v>20</v>
      </c>
      <c r="B12" s="19">
        <v>42894</v>
      </c>
      <c r="C12" s="9">
        <v>3080</v>
      </c>
      <c r="D12" s="8">
        <v>12</v>
      </c>
      <c r="E12" s="8">
        <v>7</v>
      </c>
      <c r="F12" s="8">
        <v>30</v>
      </c>
      <c r="G12" s="8">
        <v>21</v>
      </c>
      <c r="H12" s="8">
        <v>18</v>
      </c>
    </row>
    <row r="13" spans="1:8" x14ac:dyDescent="0.2">
      <c r="A13" s="21" t="s">
        <v>21</v>
      </c>
      <c r="B13" s="19">
        <v>42891</v>
      </c>
      <c r="C13" s="9">
        <v>4772</v>
      </c>
      <c r="D13" s="8">
        <v>12.5</v>
      </c>
      <c r="E13" s="8">
        <v>8</v>
      </c>
      <c r="F13" s="8">
        <v>30</v>
      </c>
      <c r="G13" s="8">
        <v>20</v>
      </c>
      <c r="H13" s="8">
        <v>18</v>
      </c>
    </row>
    <row r="14" spans="1:8" x14ac:dyDescent="0.2">
      <c r="A14" s="21" t="s">
        <v>35</v>
      </c>
      <c r="B14" s="19">
        <v>42887</v>
      </c>
      <c r="C14" s="9">
        <v>989</v>
      </c>
      <c r="D14" s="8">
        <v>11</v>
      </c>
      <c r="E14" s="8">
        <v>8</v>
      </c>
      <c r="F14" s="8">
        <v>33</v>
      </c>
      <c r="G14" s="8">
        <v>19</v>
      </c>
      <c r="H14" s="8">
        <v>18</v>
      </c>
    </row>
    <row r="15" spans="1:8" x14ac:dyDescent="0.2">
      <c r="A15" s="21" t="s">
        <v>51</v>
      </c>
      <c r="B15" s="19">
        <v>42883</v>
      </c>
      <c r="C15" s="9">
        <v>2022</v>
      </c>
      <c r="D15" s="8">
        <v>12</v>
      </c>
      <c r="E15" s="8">
        <v>8</v>
      </c>
      <c r="F15" s="8">
        <v>31</v>
      </c>
      <c r="G15" s="8">
        <v>18</v>
      </c>
      <c r="H15" s="8">
        <v>17</v>
      </c>
    </row>
    <row r="16" spans="1:8" x14ac:dyDescent="0.2">
      <c r="A16" s="7"/>
      <c r="B16" s="19"/>
      <c r="C16" s="9"/>
      <c r="D16" s="8"/>
      <c r="E16" s="8"/>
      <c r="F16" s="8"/>
      <c r="G16" s="8"/>
      <c r="H16" s="8"/>
    </row>
    <row r="18" spans="1:9" ht="16" customHeight="1" x14ac:dyDescent="0.2">
      <c r="A18" s="10" t="s">
        <v>22</v>
      </c>
    </row>
    <row r="19" spans="1:9" x14ac:dyDescent="0.2">
      <c r="A19" s="3" t="s">
        <v>6</v>
      </c>
      <c r="B19" s="3"/>
      <c r="C19" s="3"/>
      <c r="D19" s="3" t="str">
        <f>D6</f>
        <v>LFI</v>
      </c>
      <c r="E19" s="3" t="str">
        <f>E6</f>
        <v>PS</v>
      </c>
      <c r="F19" s="3" t="str">
        <f>F6</f>
        <v>LREM</v>
      </c>
      <c r="G19" s="3" t="str">
        <f>G6</f>
        <v>LR</v>
      </c>
      <c r="H19" s="3" t="str">
        <f>H6</f>
        <v>FN</v>
      </c>
      <c r="I19" s="3" t="s">
        <v>23</v>
      </c>
    </row>
    <row r="20" spans="1:9" x14ac:dyDescent="0.2">
      <c r="A20" s="7" t="str">
        <f t="shared" ref="A20:A28" si="0">A8</f>
        <v>Ifop</v>
      </c>
      <c r="D20" s="11">
        <f>IF(D8="","",ABS(D8-D7))</f>
        <v>0.98000000000000043</v>
      </c>
      <c r="E20" s="11">
        <f>IF(E8="","",ABS(E8-E7))</f>
        <v>8.9999999999999858E-2</v>
      </c>
      <c r="F20" s="11">
        <f>IF(F8="","",ABS(F8-F7))</f>
        <v>1.3200000000000003</v>
      </c>
      <c r="G20" s="11">
        <f>IF(G8="","",ABS(G8-G7))</f>
        <v>0.80000000000000071</v>
      </c>
      <c r="H20" s="11">
        <f>IF(H8="","",ABS(H8-H7))</f>
        <v>3.8000000000000007</v>
      </c>
      <c r="I20" s="12">
        <f t="shared" ref="I20:I26" si="1">IF(COUNTA(D8:H8)=0,"",AVERAGE(D20:H20))</f>
        <v>1.3980000000000004</v>
      </c>
    </row>
    <row r="21" spans="1:9" x14ac:dyDescent="0.2">
      <c r="A21" s="7" t="str">
        <f t="shared" si="0"/>
        <v>Ipsos</v>
      </c>
      <c r="D21" s="11">
        <f>IF(D9="","",ABS(D9-D7))</f>
        <v>0.48000000000000043</v>
      </c>
      <c r="E21" s="11">
        <f>IF(E9="","",ABS(E9-E7))</f>
        <v>8.9999999999999858E-2</v>
      </c>
      <c r="F21" s="11">
        <f>IF(F9="","",ABS(F9-F7))</f>
        <v>0.82000000000000028</v>
      </c>
      <c r="G21" s="11">
        <f>IF(G9="","",ABS(G9-G7))</f>
        <v>3.1999999999999993</v>
      </c>
      <c r="H21" s="11">
        <f>IF(H9="","",ABS(H9-H7))</f>
        <v>3.8000000000000007</v>
      </c>
      <c r="I21" s="12">
        <f t="shared" si="1"/>
        <v>1.6780000000000002</v>
      </c>
    </row>
    <row r="22" spans="1:9" x14ac:dyDescent="0.2">
      <c r="A22" s="7" t="str">
        <f t="shared" si="0"/>
        <v>Elabe</v>
      </c>
      <c r="D22" s="11">
        <f>IF(D10="","",ABS(D10-D7))</f>
        <v>1.9999999999999574E-2</v>
      </c>
      <c r="E22" s="11">
        <f>IF(E10="","",ABS(E10-E7))</f>
        <v>1.0899999999999999</v>
      </c>
      <c r="F22" s="11">
        <f>IF(F10="","",ABS(F10-F7))</f>
        <v>3.3200000000000003</v>
      </c>
      <c r="G22" s="11">
        <f>IF(G10="","",ABS(G10-G7))</f>
        <v>4.1999999999999993</v>
      </c>
      <c r="H22" s="11">
        <f>IF(H10="","",ABS(H10-H7))</f>
        <v>3.8000000000000007</v>
      </c>
      <c r="I22" s="12">
        <f t="shared" si="1"/>
        <v>2.4859999999999998</v>
      </c>
    </row>
    <row r="23" spans="1:9" x14ac:dyDescent="0.2">
      <c r="A23" s="7" t="str">
        <f t="shared" si="0"/>
        <v>Harris Interactive</v>
      </c>
      <c r="D23" s="11">
        <f>IF(D11="","",ABS(D11-D7))</f>
        <v>1.9999999999999574E-2</v>
      </c>
      <c r="E23" s="11">
        <f>IF(E11="","",ABS(E11-E7))</f>
        <v>8.9999999999999858E-2</v>
      </c>
      <c r="F23" s="11">
        <f>IF(F11="","",ABS(F11-F7))</f>
        <v>1.3200000000000003</v>
      </c>
      <c r="G23" s="11">
        <f>IF(G11="","",ABS(G11-G7))</f>
        <v>0.80000000000000071</v>
      </c>
      <c r="H23" s="11">
        <f>IF(H11="","",ABS(H11-H7))</f>
        <v>4.8000000000000007</v>
      </c>
      <c r="I23" s="12">
        <f t="shared" si="1"/>
        <v>1.4060000000000001</v>
      </c>
    </row>
    <row r="24" spans="1:9" x14ac:dyDescent="0.2">
      <c r="A24" s="7" t="str">
        <f t="shared" si="0"/>
        <v>OpinionWay</v>
      </c>
      <c r="D24" s="11">
        <f>IF(D12="","",ABS(D12-D7))</f>
        <v>0.98000000000000043</v>
      </c>
      <c r="E24" s="11">
        <f>IF(E12="","",ABS(E12-E7))</f>
        <v>0.91000000000000014</v>
      </c>
      <c r="F24" s="11">
        <f>IF(F12="","",ABS(F12-F7))</f>
        <v>2.3200000000000003</v>
      </c>
      <c r="G24" s="11">
        <f>IF(G12="","",ABS(G12-G7))</f>
        <v>2.1999999999999993</v>
      </c>
      <c r="H24" s="11">
        <f>IF(H12="","",ABS(H12-H7))</f>
        <v>4.8000000000000007</v>
      </c>
      <c r="I24" s="12">
        <f t="shared" si="1"/>
        <v>2.242</v>
      </c>
    </row>
    <row r="25" spans="1:9" x14ac:dyDescent="0.2">
      <c r="A25" s="7" t="str">
        <f t="shared" si="0"/>
        <v>BVA</v>
      </c>
      <c r="D25" s="11">
        <f>IF(D13="","",ABS(D13-D7))</f>
        <v>1.4800000000000004</v>
      </c>
      <c r="E25" s="11">
        <f>IF(E13="","",ABS(E13-E7))</f>
        <v>8.9999999999999858E-2</v>
      </c>
      <c r="F25" s="11">
        <f>IF(F13="","",ABS(F13-F7))</f>
        <v>2.3200000000000003</v>
      </c>
      <c r="G25" s="11">
        <f>IF(G13="","",ABS(G13-G7))</f>
        <v>1.1999999999999993</v>
      </c>
      <c r="H25" s="11">
        <f>IF(H13="","",ABS(H13-H7))</f>
        <v>4.8000000000000007</v>
      </c>
      <c r="I25" s="12">
        <f t="shared" si="1"/>
        <v>1.9780000000000002</v>
      </c>
    </row>
    <row r="26" spans="1:9" x14ac:dyDescent="0.2">
      <c r="A26" s="7" t="str">
        <f t="shared" si="0"/>
        <v>Odoxa</v>
      </c>
      <c r="D26" s="11">
        <f>IF(D14="","",ABS(D14-D7))</f>
        <v>1.9999999999999574E-2</v>
      </c>
      <c r="E26" s="11">
        <f>IF(E14="","",ABS(E14-E7))</f>
        <v>8.9999999999999858E-2</v>
      </c>
      <c r="F26" s="11">
        <f>IF(F14="","",ABS(F14-F7))</f>
        <v>0.67999999999999972</v>
      </c>
      <c r="G26" s="11">
        <f>IF(G14="","",ABS(G14-G7))</f>
        <v>0.19999999999999929</v>
      </c>
      <c r="H26" s="11">
        <f>IF(H14="","",ABS(H14-H7))</f>
        <v>4.8000000000000007</v>
      </c>
      <c r="I26" s="12">
        <f t="shared" si="1"/>
        <v>1.1579999999999999</v>
      </c>
    </row>
    <row r="27" spans="1:9" x14ac:dyDescent="0.2">
      <c r="A27" s="7" t="str">
        <f t="shared" si="0"/>
        <v>Kantar</v>
      </c>
      <c r="D27" s="11">
        <f>IF(D15="","",ABS(D15-D7))</f>
        <v>0.98000000000000043</v>
      </c>
      <c r="E27" s="11">
        <f>IF(E15="","",ABS(E15-E7))</f>
        <v>8.9999999999999858E-2</v>
      </c>
      <c r="F27" s="11">
        <f>IF(F15="","",ABS(F15-F7))</f>
        <v>1.3200000000000003</v>
      </c>
      <c r="G27" s="11">
        <f>IF(G15="","",ABS(G15-G7))</f>
        <v>0.80000000000000071</v>
      </c>
      <c r="H27" s="11">
        <f>IF(H15="","",ABS(H15-H7))</f>
        <v>3.8000000000000007</v>
      </c>
      <c r="I27" s="12">
        <f>IF(COUNTA(D15:G15)=0,"",AVERAGE(D27:G27))</f>
        <v>0.79750000000000032</v>
      </c>
    </row>
    <row r="28" spans="1:9" x14ac:dyDescent="0.2">
      <c r="A28" s="7">
        <f t="shared" si="0"/>
        <v>0</v>
      </c>
      <c r="D28" s="11" t="str">
        <f>IF(D16="","",ABS(D16-D7))</f>
        <v/>
      </c>
      <c r="E28" s="11" t="str">
        <f>IF(E16="","",ABS(E16-E7))</f>
        <v/>
      </c>
      <c r="F28" s="11" t="str">
        <f>IF(F16="","",ABS(F16-F7))</f>
        <v/>
      </c>
      <c r="G28" s="11" t="str">
        <f>IF(G16="","",ABS(G16-G7))</f>
        <v/>
      </c>
      <c r="H28" s="11" t="str">
        <f>IF(H16="","",ABS(H16-H7))</f>
        <v/>
      </c>
      <c r="I28" s="12" t="str">
        <f>IF(COUNTA(D16:G16)=0,"",AVERAGE(D28:G28))</f>
        <v/>
      </c>
    </row>
    <row r="30" spans="1:9" x14ac:dyDescent="0.2">
      <c r="A30" s="1" t="s">
        <v>24</v>
      </c>
    </row>
    <row r="31" spans="1:9" x14ac:dyDescent="0.2">
      <c r="A31" s="13" t="s">
        <v>25</v>
      </c>
    </row>
    <row r="32" spans="1:9" x14ac:dyDescent="0.2">
      <c r="A32" s="14" t="s">
        <v>26</v>
      </c>
    </row>
    <row r="33" spans="1:1" x14ac:dyDescent="0.2">
      <c r="A33" s="15" t="s">
        <v>27</v>
      </c>
    </row>
    <row r="34" spans="1:1" x14ac:dyDescent="0.2">
      <c r="A34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tabSelected="1" zoomScaleNormal="100" workbookViewId="0">
      <selection activeCell="D27" sqref="D27"/>
    </sheetView>
  </sheetViews>
  <sheetFormatPr baseColWidth="10" defaultColWidth="8.6640625" defaultRowHeight="15" x14ac:dyDescent="0.2"/>
  <cols>
    <col min="1" max="1" width="22" customWidth="1"/>
    <col min="2" max="6" width="14" customWidth="1"/>
  </cols>
  <sheetData>
    <row r="1" spans="1:5" x14ac:dyDescent="0.2">
      <c r="A1" s="1" t="s">
        <v>0</v>
      </c>
      <c r="B1" s="17" t="s">
        <v>61</v>
      </c>
    </row>
    <row r="2" spans="1:5" x14ac:dyDescent="0.2">
      <c r="A2" s="1" t="s">
        <v>2</v>
      </c>
      <c r="B2" s="18">
        <v>42862</v>
      </c>
    </row>
    <row r="3" spans="1:5" x14ac:dyDescent="0.2">
      <c r="A3" s="1" t="s">
        <v>3</v>
      </c>
      <c r="B3" s="2" t="s">
        <v>4</v>
      </c>
    </row>
    <row r="4" spans="1:5" x14ac:dyDescent="0.2">
      <c r="A4" s="1" t="s">
        <v>5</v>
      </c>
      <c r="B4" s="2">
        <v>1</v>
      </c>
    </row>
    <row r="6" spans="1:5" x14ac:dyDescent="0.2">
      <c r="A6" s="3" t="s">
        <v>6</v>
      </c>
      <c r="B6" s="23" t="s">
        <v>7</v>
      </c>
      <c r="C6" s="3" t="s">
        <v>8</v>
      </c>
      <c r="D6" s="3" t="s">
        <v>49</v>
      </c>
      <c r="E6" s="3" t="s">
        <v>50</v>
      </c>
    </row>
    <row r="7" spans="1:5" x14ac:dyDescent="0.2">
      <c r="A7" s="4" t="s">
        <v>14</v>
      </c>
      <c r="B7" s="25">
        <v>42862</v>
      </c>
      <c r="C7" s="5" t="s">
        <v>15</v>
      </c>
      <c r="D7" s="6">
        <v>66.099999999999994</v>
      </c>
      <c r="E7" s="6">
        <v>33.9</v>
      </c>
    </row>
    <row r="8" spans="1:5" x14ac:dyDescent="0.2">
      <c r="A8" s="7" t="s">
        <v>16</v>
      </c>
      <c r="B8" s="19">
        <v>42860</v>
      </c>
      <c r="C8" s="9">
        <v>1861</v>
      </c>
      <c r="D8" s="8">
        <v>63</v>
      </c>
      <c r="E8" s="8">
        <v>37</v>
      </c>
    </row>
    <row r="9" spans="1:5" x14ac:dyDescent="0.2">
      <c r="A9" s="7" t="s">
        <v>17</v>
      </c>
      <c r="B9" s="19">
        <v>42860</v>
      </c>
      <c r="C9" s="9">
        <v>5331</v>
      </c>
      <c r="D9" s="8">
        <v>63</v>
      </c>
      <c r="E9" s="8">
        <v>37</v>
      </c>
    </row>
    <row r="10" spans="1:5" x14ac:dyDescent="0.2">
      <c r="A10" s="7" t="s">
        <v>34</v>
      </c>
      <c r="B10" s="19">
        <v>42859</v>
      </c>
      <c r="C10" s="9">
        <v>1009</v>
      </c>
      <c r="D10" s="8">
        <v>62</v>
      </c>
      <c r="E10" s="8">
        <v>38</v>
      </c>
    </row>
    <row r="11" spans="1:5" x14ac:dyDescent="0.2">
      <c r="A11" s="7" t="s">
        <v>19</v>
      </c>
      <c r="B11" s="19">
        <v>42860</v>
      </c>
      <c r="C11" s="9">
        <v>4991</v>
      </c>
      <c r="D11" s="8">
        <v>62</v>
      </c>
      <c r="E11" s="8">
        <v>38</v>
      </c>
    </row>
    <row r="12" spans="1:5" x14ac:dyDescent="0.2">
      <c r="A12" s="7" t="s">
        <v>20</v>
      </c>
      <c r="B12" s="19">
        <v>42859</v>
      </c>
      <c r="C12" s="9">
        <v>1500</v>
      </c>
      <c r="D12" s="8">
        <v>62</v>
      </c>
      <c r="E12" s="8">
        <v>38</v>
      </c>
    </row>
    <row r="13" spans="1:5" x14ac:dyDescent="0.2">
      <c r="A13" s="7" t="s">
        <v>35</v>
      </c>
      <c r="B13" s="19">
        <v>42859</v>
      </c>
      <c r="C13" s="9">
        <v>998</v>
      </c>
      <c r="D13" s="8">
        <v>62</v>
      </c>
      <c r="E13" s="8">
        <v>38</v>
      </c>
    </row>
    <row r="14" spans="1:5" x14ac:dyDescent="0.2">
      <c r="A14" s="7" t="s">
        <v>21</v>
      </c>
      <c r="B14" s="19">
        <v>42857</v>
      </c>
      <c r="C14" s="9">
        <v>1435</v>
      </c>
      <c r="D14" s="8">
        <v>60</v>
      </c>
      <c r="E14" s="8">
        <v>40</v>
      </c>
    </row>
    <row r="15" spans="1:5" x14ac:dyDescent="0.2">
      <c r="A15" s="21" t="s">
        <v>51</v>
      </c>
      <c r="B15" s="19">
        <v>42855</v>
      </c>
      <c r="C15" s="9">
        <v>1539</v>
      </c>
      <c r="D15" s="8">
        <v>59</v>
      </c>
      <c r="E15" s="8">
        <v>41</v>
      </c>
    </row>
    <row r="16" spans="1:5" x14ac:dyDescent="0.2">
      <c r="A16" s="7"/>
      <c r="B16" s="8"/>
      <c r="C16" s="9"/>
      <c r="D16" s="8"/>
      <c r="E16" s="8"/>
    </row>
    <row r="18" spans="1:6" ht="16" customHeight="1" x14ac:dyDescent="0.2">
      <c r="A18" s="10" t="s">
        <v>22</v>
      </c>
    </row>
    <row r="19" spans="1:6" x14ac:dyDescent="0.2">
      <c r="A19" s="3" t="s">
        <v>6</v>
      </c>
      <c r="B19" s="3"/>
      <c r="C19" s="3"/>
      <c r="D19" s="3" t="str">
        <f>D6</f>
        <v>Macron</v>
      </c>
      <c r="E19" s="3" t="str">
        <f>E6</f>
        <v>Le Pen</v>
      </c>
      <c r="F19" s="3" t="s">
        <v>23</v>
      </c>
    </row>
    <row r="20" spans="1:6" x14ac:dyDescent="0.2">
      <c r="A20" s="7" t="str">
        <f t="shared" ref="A20:A28" si="0">A8</f>
        <v>Ifop</v>
      </c>
      <c r="D20" s="11">
        <f>IF(D8="","",ABS(D8-D7))</f>
        <v>3.0999999999999943</v>
      </c>
      <c r="E20" s="11">
        <f>IF(E8="","",ABS(E8-E7))</f>
        <v>3.1000000000000014</v>
      </c>
      <c r="F20" s="12">
        <f t="shared" ref="F20:F28" si="1">IF(COUNTA(D8:E8)=0,"",AVERAGE(D20:E20))</f>
        <v>3.0999999999999979</v>
      </c>
    </row>
    <row r="21" spans="1:6" x14ac:dyDescent="0.2">
      <c r="A21" s="7" t="str">
        <f t="shared" si="0"/>
        <v>Ipsos</v>
      </c>
      <c r="D21" s="11">
        <f>IF(D9="","",ABS(D9-D7))</f>
        <v>3.0999999999999943</v>
      </c>
      <c r="E21" s="11">
        <f>IF(E9="","",ABS(E9-E7))</f>
        <v>3.1000000000000014</v>
      </c>
      <c r="F21" s="12">
        <f t="shared" si="1"/>
        <v>3.0999999999999979</v>
      </c>
    </row>
    <row r="22" spans="1:6" x14ac:dyDescent="0.2">
      <c r="A22" s="7" t="str">
        <f t="shared" si="0"/>
        <v>Elabe</v>
      </c>
      <c r="D22" s="11">
        <f>IF(D10="","",ABS(D10-D7))</f>
        <v>4.0999999999999943</v>
      </c>
      <c r="E22" s="11">
        <f>IF(E10="","",ABS(E10-E7))</f>
        <v>4.1000000000000014</v>
      </c>
      <c r="F22" s="12">
        <f t="shared" si="1"/>
        <v>4.0999999999999979</v>
      </c>
    </row>
    <row r="23" spans="1:6" x14ac:dyDescent="0.2">
      <c r="A23" s="7" t="str">
        <f t="shared" si="0"/>
        <v>Harris Interactive</v>
      </c>
      <c r="D23" s="11">
        <f>IF(D11="","",ABS(D11-D7))</f>
        <v>4.0999999999999943</v>
      </c>
      <c r="E23" s="11">
        <f>IF(E11="","",ABS(E11-E7))</f>
        <v>4.1000000000000014</v>
      </c>
      <c r="F23" s="12">
        <f t="shared" si="1"/>
        <v>4.0999999999999979</v>
      </c>
    </row>
    <row r="24" spans="1:6" x14ac:dyDescent="0.2">
      <c r="A24" s="7" t="str">
        <f t="shared" si="0"/>
        <v>OpinionWay</v>
      </c>
      <c r="D24" s="11">
        <f>IF(D12="","",ABS(D12-D7))</f>
        <v>4.0999999999999943</v>
      </c>
      <c r="E24" s="11">
        <f>IF(E12="","",ABS(E12-E7))</f>
        <v>4.1000000000000014</v>
      </c>
      <c r="F24" s="12">
        <f t="shared" si="1"/>
        <v>4.0999999999999979</v>
      </c>
    </row>
    <row r="25" spans="1:6" x14ac:dyDescent="0.2">
      <c r="A25" s="7" t="str">
        <f t="shared" si="0"/>
        <v>Odoxa</v>
      </c>
      <c r="D25" s="11">
        <f>IF(D13="","",ABS(D13-D7))</f>
        <v>4.0999999999999943</v>
      </c>
      <c r="E25" s="11">
        <f>IF(E13="","",ABS(E13-E7))</f>
        <v>4.1000000000000014</v>
      </c>
      <c r="F25" s="12">
        <f t="shared" si="1"/>
        <v>4.0999999999999979</v>
      </c>
    </row>
    <row r="26" spans="1:6" x14ac:dyDescent="0.2">
      <c r="A26" s="7" t="str">
        <f t="shared" si="0"/>
        <v>BVA</v>
      </c>
      <c r="D26" s="11">
        <f>IF(D14="","",ABS(D14-D7))</f>
        <v>6.0999999999999943</v>
      </c>
      <c r="E26" s="11">
        <f>IF(E14="","",ABS(E14-E7))</f>
        <v>6.1000000000000014</v>
      </c>
      <c r="F26" s="12">
        <f t="shared" si="1"/>
        <v>6.0999999999999979</v>
      </c>
    </row>
    <row r="27" spans="1:6" x14ac:dyDescent="0.2">
      <c r="A27" s="7" t="str">
        <f t="shared" si="0"/>
        <v>Kantar</v>
      </c>
      <c r="D27" s="11">
        <f>IF(D15="","",ABS(D15-D7))</f>
        <v>7.0999999999999943</v>
      </c>
      <c r="E27" s="11">
        <f>IF(E15="","",ABS(E15-E7))</f>
        <v>7.1000000000000014</v>
      </c>
      <c r="F27" s="12">
        <f t="shared" si="1"/>
        <v>7.0999999999999979</v>
      </c>
    </row>
    <row r="28" spans="1:6" x14ac:dyDescent="0.2">
      <c r="A28" s="7">
        <f t="shared" si="0"/>
        <v>0</v>
      </c>
      <c r="D28" s="11" t="str">
        <f>IF(D16="","",ABS(D16-D7))</f>
        <v/>
      </c>
      <c r="E28" s="11" t="str">
        <f>IF(E16="","",ABS(E16-E7))</f>
        <v/>
      </c>
      <c r="F28" s="12" t="str">
        <f t="shared" si="1"/>
        <v/>
      </c>
    </row>
    <row r="30" spans="1:6" x14ac:dyDescent="0.2">
      <c r="A30" s="1" t="s">
        <v>24</v>
      </c>
    </row>
    <row r="31" spans="1:6" x14ac:dyDescent="0.2">
      <c r="A31" s="13" t="s">
        <v>25</v>
      </c>
    </row>
    <row r="32" spans="1:6" x14ac:dyDescent="0.2">
      <c r="A32" s="14" t="s">
        <v>26</v>
      </c>
    </row>
    <row r="33" spans="1:1" x14ac:dyDescent="0.2">
      <c r="A33" s="15" t="s">
        <v>27</v>
      </c>
    </row>
    <row r="34" spans="1:1" x14ac:dyDescent="0.2">
      <c r="A34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"/>
  <sheetViews>
    <sheetView zoomScaleNormal="100" workbookViewId="0">
      <selection activeCell="F26" sqref="F26"/>
    </sheetView>
  </sheetViews>
  <sheetFormatPr baseColWidth="10" defaultColWidth="8.6640625" defaultRowHeight="15" x14ac:dyDescent="0.2"/>
  <cols>
    <col min="1" max="1" width="22" customWidth="1"/>
    <col min="2" max="10" width="14" customWidth="1"/>
  </cols>
  <sheetData>
    <row r="1" spans="1:9" x14ac:dyDescent="0.2">
      <c r="A1" s="1" t="s">
        <v>0</v>
      </c>
      <c r="B1" s="17" t="s">
        <v>62</v>
      </c>
    </row>
    <row r="2" spans="1:9" x14ac:dyDescent="0.2">
      <c r="A2" s="1" t="s">
        <v>2</v>
      </c>
      <c r="B2" s="22">
        <v>42848</v>
      </c>
    </row>
    <row r="3" spans="1:9" x14ac:dyDescent="0.2">
      <c r="A3" s="1" t="s">
        <v>3</v>
      </c>
      <c r="B3" s="2" t="s">
        <v>4</v>
      </c>
    </row>
    <row r="4" spans="1:9" x14ac:dyDescent="0.2">
      <c r="A4" s="1" t="s">
        <v>5</v>
      </c>
      <c r="B4" s="2">
        <v>1</v>
      </c>
    </row>
    <row r="6" spans="1:9" x14ac:dyDescent="0.2">
      <c r="A6" s="3" t="s">
        <v>6</v>
      </c>
      <c r="B6" s="3" t="s">
        <v>7</v>
      </c>
      <c r="C6" s="3" t="s">
        <v>8</v>
      </c>
      <c r="D6" s="3" t="s">
        <v>54</v>
      </c>
      <c r="E6" s="3" t="s">
        <v>63</v>
      </c>
      <c r="F6" s="3" t="s">
        <v>49</v>
      </c>
      <c r="G6" s="3" t="s">
        <v>64</v>
      </c>
      <c r="H6" s="3" t="s">
        <v>65</v>
      </c>
      <c r="I6" s="3" t="s">
        <v>50</v>
      </c>
    </row>
    <row r="7" spans="1:9" x14ac:dyDescent="0.2">
      <c r="A7" s="4" t="s">
        <v>14</v>
      </c>
      <c r="B7" s="25">
        <v>42848</v>
      </c>
      <c r="C7" s="5" t="s">
        <v>15</v>
      </c>
      <c r="D7" s="6">
        <v>19.579999999999998</v>
      </c>
      <c r="E7" s="6">
        <v>6.36</v>
      </c>
      <c r="F7" s="6">
        <v>24.01</v>
      </c>
      <c r="G7" s="6">
        <v>20.010000000000002</v>
      </c>
      <c r="H7" s="6">
        <v>4.7</v>
      </c>
      <c r="I7" s="6">
        <v>21.3</v>
      </c>
    </row>
    <row r="8" spans="1:9" x14ac:dyDescent="0.2">
      <c r="A8" s="7" t="s">
        <v>16</v>
      </c>
      <c r="B8" s="19">
        <v>42846</v>
      </c>
      <c r="C8" s="9">
        <v>2823</v>
      </c>
      <c r="D8" s="8">
        <v>18.5</v>
      </c>
      <c r="E8" s="8">
        <v>7</v>
      </c>
      <c r="F8" s="8">
        <v>24.5</v>
      </c>
      <c r="G8" s="8">
        <v>19.5</v>
      </c>
      <c r="H8" s="8">
        <v>4</v>
      </c>
      <c r="I8" s="8">
        <v>22.5</v>
      </c>
    </row>
    <row r="9" spans="1:9" x14ac:dyDescent="0.2">
      <c r="A9" s="7" t="s">
        <v>17</v>
      </c>
      <c r="B9" s="19">
        <v>42845</v>
      </c>
      <c r="C9" s="9">
        <v>1401</v>
      </c>
      <c r="D9" s="8">
        <v>19</v>
      </c>
      <c r="E9" s="8">
        <v>7.5</v>
      </c>
      <c r="F9" s="8">
        <v>24</v>
      </c>
      <c r="G9" s="8">
        <v>19</v>
      </c>
      <c r="H9" s="8">
        <v>4</v>
      </c>
      <c r="I9" s="8">
        <v>22</v>
      </c>
    </row>
    <row r="10" spans="1:9" x14ac:dyDescent="0.2">
      <c r="A10" s="7" t="s">
        <v>34</v>
      </c>
      <c r="B10" s="19">
        <v>42845</v>
      </c>
      <c r="C10" s="9">
        <v>1197</v>
      </c>
      <c r="D10" s="8">
        <v>19.5</v>
      </c>
      <c r="E10" s="8">
        <v>7</v>
      </c>
      <c r="F10" s="8">
        <v>24</v>
      </c>
      <c r="G10" s="8">
        <v>20</v>
      </c>
      <c r="H10" s="8">
        <v>4</v>
      </c>
      <c r="I10" s="8">
        <v>21.5</v>
      </c>
    </row>
    <row r="11" spans="1:9" x14ac:dyDescent="0.2">
      <c r="A11" s="7" t="s">
        <v>19</v>
      </c>
      <c r="B11" s="19">
        <v>42844</v>
      </c>
      <c r="C11" s="9">
        <v>2812</v>
      </c>
      <c r="D11" s="8">
        <v>19</v>
      </c>
      <c r="E11" s="8">
        <v>7.5</v>
      </c>
      <c r="F11" s="8">
        <v>24</v>
      </c>
      <c r="G11" s="8">
        <v>19</v>
      </c>
      <c r="H11" s="8">
        <v>4</v>
      </c>
      <c r="I11" s="8">
        <v>22</v>
      </c>
    </row>
    <row r="12" spans="1:9" x14ac:dyDescent="0.2">
      <c r="A12" s="7" t="s">
        <v>20</v>
      </c>
      <c r="B12" s="19">
        <v>42846</v>
      </c>
      <c r="C12" s="9">
        <v>150</v>
      </c>
      <c r="D12" s="8">
        <v>18</v>
      </c>
      <c r="E12" s="8">
        <v>8</v>
      </c>
      <c r="F12" s="8">
        <v>23</v>
      </c>
      <c r="G12" s="8">
        <v>21</v>
      </c>
      <c r="H12" s="8">
        <v>4</v>
      </c>
      <c r="I12" s="8">
        <v>22</v>
      </c>
    </row>
    <row r="13" spans="1:9" x14ac:dyDescent="0.2">
      <c r="A13" s="7" t="s">
        <v>35</v>
      </c>
      <c r="B13" s="19">
        <v>42846</v>
      </c>
      <c r="C13" s="9">
        <v>953</v>
      </c>
      <c r="D13" s="8">
        <v>19</v>
      </c>
      <c r="E13" s="8">
        <v>7.5</v>
      </c>
      <c r="F13" s="8">
        <v>24.5</v>
      </c>
      <c r="G13" s="8">
        <v>19</v>
      </c>
      <c r="H13" s="8">
        <v>4.5</v>
      </c>
      <c r="I13" s="8">
        <v>23</v>
      </c>
    </row>
    <row r="14" spans="1:9" x14ac:dyDescent="0.2">
      <c r="A14" s="7" t="s">
        <v>21</v>
      </c>
      <c r="B14" s="19">
        <v>42846</v>
      </c>
      <c r="C14" s="9">
        <v>1494</v>
      </c>
      <c r="D14" s="8">
        <v>19.5</v>
      </c>
      <c r="E14" s="8">
        <v>8</v>
      </c>
      <c r="F14" s="8">
        <v>23</v>
      </c>
      <c r="G14" s="8">
        <v>19</v>
      </c>
      <c r="H14" s="8">
        <v>4.5</v>
      </c>
      <c r="I14" s="8">
        <v>23</v>
      </c>
    </row>
    <row r="15" spans="1:9" x14ac:dyDescent="0.2">
      <c r="A15" s="21" t="s">
        <v>51</v>
      </c>
      <c r="B15" s="19">
        <v>42842</v>
      </c>
      <c r="C15" s="9">
        <v>1530</v>
      </c>
      <c r="D15" s="8">
        <v>18</v>
      </c>
      <c r="E15" s="8">
        <v>8</v>
      </c>
      <c r="F15" s="8">
        <v>24</v>
      </c>
      <c r="G15" s="8">
        <v>19.5</v>
      </c>
      <c r="H15" s="8">
        <v>4</v>
      </c>
      <c r="I15" s="8">
        <v>23</v>
      </c>
    </row>
    <row r="17" spans="1:10" ht="16" customHeight="1" x14ac:dyDescent="0.2">
      <c r="A17" s="10" t="s">
        <v>22</v>
      </c>
    </row>
    <row r="18" spans="1:10" x14ac:dyDescent="0.2">
      <c r="A18" s="3" t="s">
        <v>6</v>
      </c>
      <c r="B18" s="3"/>
      <c r="C18" s="3"/>
      <c r="D18" s="3" t="str">
        <f t="shared" ref="D18:I18" si="0">D6</f>
        <v>Mélenchon</v>
      </c>
      <c r="E18" s="3" t="str">
        <f t="shared" si="0"/>
        <v>Hamon</v>
      </c>
      <c r="F18" s="3" t="str">
        <f t="shared" si="0"/>
        <v>Macron</v>
      </c>
      <c r="G18" s="3" t="str">
        <f t="shared" si="0"/>
        <v>Fillon</v>
      </c>
      <c r="H18" s="3" t="str">
        <f t="shared" si="0"/>
        <v>Dupont-Aignan</v>
      </c>
      <c r="I18" s="3" t="str">
        <f t="shared" si="0"/>
        <v>Le Pen</v>
      </c>
      <c r="J18" s="3" t="s">
        <v>23</v>
      </c>
    </row>
    <row r="19" spans="1:10" x14ac:dyDescent="0.2">
      <c r="A19" s="7" t="str">
        <f t="shared" ref="A19:A26" si="1">A8</f>
        <v>Ifop</v>
      </c>
      <c r="D19" s="11">
        <f t="shared" ref="D19:I19" si="2">IF(D8="","",ABS(D8-D7))</f>
        <v>1.0799999999999983</v>
      </c>
      <c r="E19" s="11">
        <f t="shared" si="2"/>
        <v>0.63999999999999968</v>
      </c>
      <c r="F19" s="11">
        <f t="shared" si="2"/>
        <v>0.48999999999999844</v>
      </c>
      <c r="G19" s="11">
        <f t="shared" si="2"/>
        <v>0.51000000000000156</v>
      </c>
      <c r="H19" s="11">
        <f t="shared" si="2"/>
        <v>0.70000000000000018</v>
      </c>
      <c r="I19" s="11">
        <f t="shared" si="2"/>
        <v>1.1999999999999993</v>
      </c>
      <c r="J19" s="12">
        <f t="shared" ref="J19:J26" si="3">IF(COUNTA(D8:I8)=0,"",AVERAGE(D19:I19))</f>
        <v>0.76999999999999957</v>
      </c>
    </row>
    <row r="20" spans="1:10" x14ac:dyDescent="0.2">
      <c r="A20" s="7" t="str">
        <f t="shared" si="1"/>
        <v>Ipsos</v>
      </c>
      <c r="D20" s="11">
        <f t="shared" ref="D20:I20" si="4">IF(D9="","",ABS(D9-D7))</f>
        <v>0.57999999999999829</v>
      </c>
      <c r="E20" s="11">
        <f t="shared" si="4"/>
        <v>1.1399999999999997</v>
      </c>
      <c r="F20" s="11">
        <f t="shared" si="4"/>
        <v>1.0000000000001563E-2</v>
      </c>
      <c r="G20" s="11">
        <f t="shared" si="4"/>
        <v>1.0100000000000016</v>
      </c>
      <c r="H20" s="11">
        <f t="shared" si="4"/>
        <v>0.70000000000000018</v>
      </c>
      <c r="I20" s="11">
        <f t="shared" si="4"/>
        <v>0.69999999999999929</v>
      </c>
      <c r="J20" s="12">
        <f t="shared" si="3"/>
        <v>0.69000000000000006</v>
      </c>
    </row>
    <row r="21" spans="1:10" x14ac:dyDescent="0.2">
      <c r="A21" s="7" t="str">
        <f t="shared" si="1"/>
        <v>Elabe</v>
      </c>
      <c r="D21" s="11">
        <f t="shared" ref="D21:I21" si="5">IF(D10="","",ABS(D10-D7))</f>
        <v>7.9999999999998295E-2</v>
      </c>
      <c r="E21" s="11">
        <f t="shared" si="5"/>
        <v>0.63999999999999968</v>
      </c>
      <c r="F21" s="11">
        <f t="shared" si="5"/>
        <v>1.0000000000001563E-2</v>
      </c>
      <c r="G21" s="11">
        <f t="shared" si="5"/>
        <v>1.0000000000001563E-2</v>
      </c>
      <c r="H21" s="11">
        <f t="shared" si="5"/>
        <v>0.70000000000000018</v>
      </c>
      <c r="I21" s="11">
        <f t="shared" si="5"/>
        <v>0.19999999999999929</v>
      </c>
      <c r="J21" s="12">
        <f t="shared" si="3"/>
        <v>0.27333333333333343</v>
      </c>
    </row>
    <row r="22" spans="1:10" x14ac:dyDescent="0.2">
      <c r="A22" s="7" t="str">
        <f t="shared" si="1"/>
        <v>Harris Interactive</v>
      </c>
      <c r="D22" s="11">
        <f t="shared" ref="D22:I22" si="6">IF(D11="","",ABS(D11-D7))</f>
        <v>0.57999999999999829</v>
      </c>
      <c r="E22" s="11">
        <f t="shared" si="6"/>
        <v>1.1399999999999997</v>
      </c>
      <c r="F22" s="11">
        <f t="shared" si="6"/>
        <v>1.0000000000001563E-2</v>
      </c>
      <c r="G22" s="11">
        <f t="shared" si="6"/>
        <v>1.0100000000000016</v>
      </c>
      <c r="H22" s="11">
        <f t="shared" si="6"/>
        <v>0.70000000000000018</v>
      </c>
      <c r="I22" s="11">
        <f t="shared" si="6"/>
        <v>0.69999999999999929</v>
      </c>
      <c r="J22" s="12">
        <f t="shared" si="3"/>
        <v>0.69000000000000006</v>
      </c>
    </row>
    <row r="23" spans="1:10" x14ac:dyDescent="0.2">
      <c r="A23" s="7" t="str">
        <f t="shared" si="1"/>
        <v>OpinionWay</v>
      </c>
      <c r="D23" s="11">
        <f t="shared" ref="D23:I23" si="7">IF(D12="","",ABS(D12-D7))</f>
        <v>1.5799999999999983</v>
      </c>
      <c r="E23" s="11">
        <f t="shared" si="7"/>
        <v>1.6399999999999997</v>
      </c>
      <c r="F23" s="11">
        <f t="shared" si="7"/>
        <v>1.0100000000000016</v>
      </c>
      <c r="G23" s="11">
        <f t="shared" si="7"/>
        <v>0.98999999999999844</v>
      </c>
      <c r="H23" s="11">
        <f t="shared" si="7"/>
        <v>0.70000000000000018</v>
      </c>
      <c r="I23" s="11">
        <f t="shared" si="7"/>
        <v>0.69999999999999929</v>
      </c>
      <c r="J23" s="12">
        <f t="shared" si="3"/>
        <v>1.1033333333333328</v>
      </c>
    </row>
    <row r="24" spans="1:10" x14ac:dyDescent="0.2">
      <c r="A24" s="7" t="str">
        <f t="shared" si="1"/>
        <v>Odoxa</v>
      </c>
      <c r="D24" s="11">
        <f t="shared" ref="D24:I24" si="8">IF(D13="","",ABS(D13-D7))</f>
        <v>0.57999999999999829</v>
      </c>
      <c r="E24" s="11">
        <f t="shared" si="8"/>
        <v>1.1399999999999997</v>
      </c>
      <c r="F24" s="11">
        <f t="shared" si="8"/>
        <v>0.48999999999999844</v>
      </c>
      <c r="G24" s="11">
        <f t="shared" si="8"/>
        <v>1.0100000000000016</v>
      </c>
      <c r="H24" s="11">
        <f t="shared" si="8"/>
        <v>0.20000000000000018</v>
      </c>
      <c r="I24" s="11">
        <f t="shared" si="8"/>
        <v>1.6999999999999993</v>
      </c>
      <c r="J24" s="12">
        <f t="shared" si="3"/>
        <v>0.85333333333333294</v>
      </c>
    </row>
    <row r="25" spans="1:10" x14ac:dyDescent="0.2">
      <c r="A25" s="7" t="str">
        <f t="shared" si="1"/>
        <v>BVA</v>
      </c>
      <c r="D25" s="11">
        <f t="shared" ref="D25:I25" si="9">IF(D14="","",ABS(D14-D7))</f>
        <v>7.9999999999998295E-2</v>
      </c>
      <c r="E25" s="11">
        <f t="shared" si="9"/>
        <v>1.6399999999999997</v>
      </c>
      <c r="F25" s="11">
        <f t="shared" si="9"/>
        <v>1.0100000000000016</v>
      </c>
      <c r="G25" s="11">
        <f t="shared" si="9"/>
        <v>1.0100000000000016</v>
      </c>
      <c r="H25" s="11">
        <f t="shared" si="9"/>
        <v>0.20000000000000018</v>
      </c>
      <c r="I25" s="11">
        <f t="shared" si="9"/>
        <v>1.6999999999999993</v>
      </c>
      <c r="J25" s="12">
        <f t="shared" si="3"/>
        <v>0.94000000000000006</v>
      </c>
    </row>
    <row r="26" spans="1:10" x14ac:dyDescent="0.2">
      <c r="A26" s="7" t="str">
        <f t="shared" si="1"/>
        <v>Kantar</v>
      </c>
      <c r="D26" s="11">
        <f t="shared" ref="D26:I26" si="10">IF(D15="","",ABS(D15-D7))</f>
        <v>1.5799999999999983</v>
      </c>
      <c r="E26" s="11">
        <f t="shared" si="10"/>
        <v>1.6399999999999997</v>
      </c>
      <c r="F26" s="11">
        <f t="shared" si="10"/>
        <v>1.0000000000001563E-2</v>
      </c>
      <c r="G26" s="11">
        <f t="shared" si="10"/>
        <v>0.51000000000000156</v>
      </c>
      <c r="H26" s="11">
        <f t="shared" si="10"/>
        <v>0.70000000000000018</v>
      </c>
      <c r="I26" s="11">
        <f t="shared" si="10"/>
        <v>1.6999999999999993</v>
      </c>
      <c r="J26" s="12">
        <f t="shared" si="3"/>
        <v>1.0233333333333334</v>
      </c>
    </row>
    <row r="28" spans="1:10" x14ac:dyDescent="0.2">
      <c r="A28" s="1" t="s">
        <v>24</v>
      </c>
    </row>
    <row r="29" spans="1:10" x14ac:dyDescent="0.2">
      <c r="A29" s="13" t="s">
        <v>25</v>
      </c>
    </row>
    <row r="30" spans="1:10" x14ac:dyDescent="0.2">
      <c r="A30" s="14" t="s">
        <v>26</v>
      </c>
    </row>
    <row r="31" spans="1:10" x14ac:dyDescent="0.2">
      <c r="A31" s="15" t="s">
        <v>27</v>
      </c>
    </row>
    <row r="32" spans="1:10" x14ac:dyDescent="0.2">
      <c r="A32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zoomScaleNormal="100" workbookViewId="0">
      <selection activeCell="E24" sqref="E24"/>
    </sheetView>
  </sheetViews>
  <sheetFormatPr baseColWidth="10" defaultColWidth="8.6640625" defaultRowHeight="15" x14ac:dyDescent="0.2"/>
  <cols>
    <col min="1" max="1" width="44" bestFit="1" customWidth="1"/>
    <col min="2" max="10" width="14" customWidth="1"/>
  </cols>
  <sheetData>
    <row r="1" spans="1:10" x14ac:dyDescent="0.2">
      <c r="A1" s="1" t="s">
        <v>0</v>
      </c>
      <c r="B1" s="17" t="s">
        <v>66</v>
      </c>
    </row>
    <row r="2" spans="1:10" x14ac:dyDescent="0.2">
      <c r="A2" s="1" t="s">
        <v>2</v>
      </c>
      <c r="B2" s="18">
        <v>41784</v>
      </c>
    </row>
    <row r="3" spans="1:10" x14ac:dyDescent="0.2">
      <c r="A3" s="1" t="s">
        <v>3</v>
      </c>
      <c r="B3" s="24" t="s">
        <v>38</v>
      </c>
    </row>
    <row r="4" spans="1:10" x14ac:dyDescent="0.2">
      <c r="A4" s="1" t="s">
        <v>5</v>
      </c>
      <c r="B4" s="2">
        <v>1</v>
      </c>
    </row>
    <row r="6" spans="1:10" x14ac:dyDescent="0.2">
      <c r="A6" s="3" t="s">
        <v>6</v>
      </c>
      <c r="B6" s="3" t="s">
        <v>7</v>
      </c>
      <c r="C6" s="3" t="s">
        <v>58</v>
      </c>
      <c r="D6" s="3" t="s">
        <v>9</v>
      </c>
      <c r="E6" s="3" t="s">
        <v>10</v>
      </c>
      <c r="F6" s="3" t="s">
        <v>11</v>
      </c>
      <c r="G6" s="3" t="s">
        <v>67</v>
      </c>
      <c r="H6" s="3" t="s">
        <v>12</v>
      </c>
      <c r="I6" s="3" t="s">
        <v>13</v>
      </c>
    </row>
    <row r="7" spans="1:10" x14ac:dyDescent="0.2">
      <c r="A7" s="4" t="s">
        <v>14</v>
      </c>
      <c r="B7" s="20">
        <v>41784</v>
      </c>
      <c r="C7" s="5" t="s">
        <v>15</v>
      </c>
      <c r="D7" s="6">
        <v>6.31</v>
      </c>
      <c r="E7" s="6">
        <v>6.19</v>
      </c>
      <c r="F7" s="6">
        <v>13.48</v>
      </c>
      <c r="G7" s="6">
        <v>22.41</v>
      </c>
      <c r="H7" s="6">
        <v>8.48</v>
      </c>
      <c r="I7" s="6">
        <v>23.33</v>
      </c>
    </row>
    <row r="8" spans="1:10" x14ac:dyDescent="0.2">
      <c r="A8" s="21" t="s">
        <v>16</v>
      </c>
      <c r="B8" s="19">
        <v>41782</v>
      </c>
      <c r="C8" s="9">
        <v>1691</v>
      </c>
      <c r="D8" s="8">
        <v>7.5</v>
      </c>
      <c r="E8" s="8">
        <v>10</v>
      </c>
      <c r="F8" s="8">
        <v>16</v>
      </c>
      <c r="G8" s="8">
        <v>9.5</v>
      </c>
      <c r="H8" s="8">
        <v>21.5</v>
      </c>
      <c r="I8" s="8">
        <v>23.5</v>
      </c>
    </row>
    <row r="9" spans="1:10" x14ac:dyDescent="0.2">
      <c r="A9" s="7" t="s">
        <v>19</v>
      </c>
      <c r="B9" s="19">
        <v>41781</v>
      </c>
      <c r="C9" s="9">
        <v>1429</v>
      </c>
      <c r="D9" s="8">
        <v>7</v>
      </c>
      <c r="E9" s="8">
        <v>9</v>
      </c>
      <c r="F9" s="8">
        <v>16</v>
      </c>
      <c r="G9" s="8">
        <v>11</v>
      </c>
      <c r="H9" s="8">
        <v>21</v>
      </c>
      <c r="I9" s="8">
        <v>23</v>
      </c>
    </row>
    <row r="10" spans="1:10" x14ac:dyDescent="0.2">
      <c r="A10" s="7" t="s">
        <v>17</v>
      </c>
      <c r="B10" s="19">
        <v>41781</v>
      </c>
      <c r="C10" s="9">
        <v>1540</v>
      </c>
      <c r="D10" s="9">
        <v>8.5</v>
      </c>
      <c r="E10" s="8">
        <v>9</v>
      </c>
      <c r="F10" s="8">
        <v>17.5</v>
      </c>
      <c r="G10" s="8">
        <v>11</v>
      </c>
      <c r="H10" s="8">
        <v>21</v>
      </c>
      <c r="I10" s="8">
        <v>21</v>
      </c>
    </row>
    <row r="11" spans="1:10" x14ac:dyDescent="0.2">
      <c r="A11" s="7" t="s">
        <v>20</v>
      </c>
      <c r="B11" s="19">
        <v>41781</v>
      </c>
      <c r="C11" s="9">
        <v>2948</v>
      </c>
      <c r="D11" s="8">
        <v>7</v>
      </c>
      <c r="E11" s="8">
        <v>9</v>
      </c>
      <c r="F11" s="8">
        <v>17</v>
      </c>
      <c r="G11" s="8">
        <v>11</v>
      </c>
      <c r="H11" s="8">
        <v>21</v>
      </c>
      <c r="I11" s="8">
        <v>21</v>
      </c>
    </row>
    <row r="12" spans="1:10" x14ac:dyDescent="0.2">
      <c r="A12" s="21" t="s">
        <v>21</v>
      </c>
      <c r="B12" s="19">
        <v>41775</v>
      </c>
      <c r="C12" s="9">
        <v>1045</v>
      </c>
      <c r="D12" s="8">
        <v>8</v>
      </c>
      <c r="E12" s="8">
        <v>9</v>
      </c>
      <c r="F12" s="8">
        <v>17</v>
      </c>
      <c r="G12" s="8">
        <v>9.5</v>
      </c>
      <c r="H12" s="8">
        <v>21</v>
      </c>
      <c r="I12" s="8">
        <v>23</v>
      </c>
    </row>
    <row r="13" spans="1:10" x14ac:dyDescent="0.2">
      <c r="A13" s="21" t="s">
        <v>18</v>
      </c>
      <c r="B13" s="19">
        <v>41781</v>
      </c>
      <c r="C13" s="9">
        <v>1999</v>
      </c>
      <c r="D13" s="8">
        <v>8</v>
      </c>
      <c r="E13" s="8">
        <v>9</v>
      </c>
      <c r="F13" s="8">
        <v>16</v>
      </c>
      <c r="G13" s="8">
        <v>10</v>
      </c>
      <c r="H13" s="8">
        <v>21</v>
      </c>
      <c r="I13" s="8">
        <v>23.5</v>
      </c>
    </row>
    <row r="15" spans="1:10" ht="16" customHeight="1" x14ac:dyDescent="0.2">
      <c r="A15" s="10" t="s">
        <v>22</v>
      </c>
    </row>
    <row r="16" spans="1:10" x14ac:dyDescent="0.2">
      <c r="A16" s="3" t="s">
        <v>6</v>
      </c>
      <c r="B16" s="3"/>
      <c r="C16" s="3"/>
      <c r="D16" s="3" t="str">
        <f t="shared" ref="D16:I16" si="0">D6</f>
        <v>Front de Gauche</v>
      </c>
      <c r="E16" s="3" t="str">
        <f t="shared" si="0"/>
        <v>EELV</v>
      </c>
      <c r="F16" s="3" t="str">
        <f t="shared" si="0"/>
        <v>PS</v>
      </c>
      <c r="G16" s="3" t="str">
        <f t="shared" si="0"/>
        <v>Modem</v>
      </c>
      <c r="H16" s="3" t="str">
        <f t="shared" si="0"/>
        <v>UMP</v>
      </c>
      <c r="I16" s="3" t="str">
        <f t="shared" si="0"/>
        <v>FN</v>
      </c>
      <c r="J16" s="3" t="s">
        <v>23</v>
      </c>
    </row>
    <row r="17" spans="1:10" x14ac:dyDescent="0.2">
      <c r="A17" s="7" t="str">
        <f>A8</f>
        <v>Ifop</v>
      </c>
      <c r="D17" s="11">
        <f t="shared" ref="D17:I17" si="1">IF(D8="","",ABS(D8-D7))</f>
        <v>1.1900000000000004</v>
      </c>
      <c r="E17" s="11">
        <f t="shared" si="1"/>
        <v>3.8099999999999996</v>
      </c>
      <c r="F17" s="11">
        <f t="shared" si="1"/>
        <v>2.5199999999999996</v>
      </c>
      <c r="G17" s="11">
        <f t="shared" si="1"/>
        <v>12.91</v>
      </c>
      <c r="H17" s="11">
        <f t="shared" si="1"/>
        <v>13.02</v>
      </c>
      <c r="I17" s="11">
        <f t="shared" si="1"/>
        <v>0.17000000000000171</v>
      </c>
      <c r="J17" s="12">
        <f t="shared" ref="J17:J22" si="2">IF(COUNTA(D8:I8)=0,"",AVERAGE(D17:I17))</f>
        <v>5.6033333333333344</v>
      </c>
    </row>
    <row r="18" spans="1:10" x14ac:dyDescent="0.2">
      <c r="A18" s="7" t="str">
        <f>A9</f>
        <v>Harris Interactive</v>
      </c>
      <c r="D18" s="11">
        <f t="shared" ref="D18:I18" si="3">IF(D9="","",ABS(D9-D7))</f>
        <v>0.69000000000000039</v>
      </c>
      <c r="E18" s="11">
        <f t="shared" si="3"/>
        <v>2.8099999999999996</v>
      </c>
      <c r="F18" s="11">
        <f t="shared" si="3"/>
        <v>2.5199999999999996</v>
      </c>
      <c r="G18" s="11">
        <f t="shared" si="3"/>
        <v>11.41</v>
      </c>
      <c r="H18" s="11">
        <f t="shared" si="3"/>
        <v>12.52</v>
      </c>
      <c r="I18" s="11">
        <f t="shared" si="3"/>
        <v>0.32999999999999829</v>
      </c>
      <c r="J18" s="12">
        <f t="shared" si="2"/>
        <v>5.046666666666666</v>
      </c>
    </row>
    <row r="19" spans="1:10" x14ac:dyDescent="0.2">
      <c r="A19" s="7" t="str">
        <f>A10</f>
        <v>Ipsos</v>
      </c>
      <c r="D19" s="11">
        <f t="shared" ref="D19:I19" si="4">IF(D10="","",ABS(D10-D7))</f>
        <v>2.1900000000000004</v>
      </c>
      <c r="E19" s="11">
        <f t="shared" si="4"/>
        <v>2.8099999999999996</v>
      </c>
      <c r="F19" s="11">
        <f t="shared" si="4"/>
        <v>4.0199999999999996</v>
      </c>
      <c r="G19" s="11">
        <f t="shared" si="4"/>
        <v>11.41</v>
      </c>
      <c r="H19" s="11">
        <f t="shared" si="4"/>
        <v>12.52</v>
      </c>
      <c r="I19" s="11">
        <f t="shared" si="4"/>
        <v>2.3299999999999983</v>
      </c>
      <c r="J19" s="12">
        <f t="shared" si="2"/>
        <v>5.88</v>
      </c>
    </row>
    <row r="20" spans="1:10" x14ac:dyDescent="0.2">
      <c r="A20" s="7" t="str">
        <f>A11</f>
        <v>OpinionWay</v>
      </c>
      <c r="D20" s="11">
        <f t="shared" ref="D20:I20" si="5">IF(D11="","",ABS(D11-D7))</f>
        <v>0.69000000000000039</v>
      </c>
      <c r="E20" s="11">
        <f t="shared" si="5"/>
        <v>2.8099999999999996</v>
      </c>
      <c r="F20" s="11">
        <f t="shared" si="5"/>
        <v>3.5199999999999996</v>
      </c>
      <c r="G20" s="11">
        <f t="shared" si="5"/>
        <v>11.41</v>
      </c>
      <c r="H20" s="11">
        <f t="shared" si="5"/>
        <v>12.52</v>
      </c>
      <c r="I20" s="11">
        <f t="shared" si="5"/>
        <v>2.3299999999999983</v>
      </c>
      <c r="J20" s="12">
        <f t="shared" si="2"/>
        <v>5.5466666666666669</v>
      </c>
    </row>
    <row r="21" spans="1:10" x14ac:dyDescent="0.2">
      <c r="A21" s="21" t="s">
        <v>47</v>
      </c>
      <c r="D21" s="11">
        <f t="shared" ref="D21:I21" si="6">IF(D12="","",ABS(D12-D7))</f>
        <v>1.6900000000000004</v>
      </c>
      <c r="E21" s="11">
        <f t="shared" si="6"/>
        <v>2.8099999999999996</v>
      </c>
      <c r="F21" s="11">
        <f t="shared" si="6"/>
        <v>3.5199999999999996</v>
      </c>
      <c r="G21" s="11">
        <f t="shared" si="6"/>
        <v>12.91</v>
      </c>
      <c r="H21" s="11">
        <f t="shared" si="6"/>
        <v>12.52</v>
      </c>
      <c r="I21" s="11">
        <f t="shared" si="6"/>
        <v>0.32999999999999829</v>
      </c>
      <c r="J21" s="12">
        <f t="shared" si="2"/>
        <v>5.63</v>
      </c>
    </row>
    <row r="22" spans="1:10" x14ac:dyDescent="0.2">
      <c r="A22" s="7" t="str">
        <f>A13</f>
        <v>CSA</v>
      </c>
      <c r="D22" s="11">
        <f t="shared" ref="D22:I22" si="7">IF(D13="","",ABS(D13-D7))</f>
        <v>1.6900000000000004</v>
      </c>
      <c r="E22" s="11">
        <f t="shared" si="7"/>
        <v>2.8099999999999996</v>
      </c>
      <c r="F22" s="11">
        <f t="shared" si="7"/>
        <v>2.5199999999999996</v>
      </c>
      <c r="G22" s="11">
        <f t="shared" si="7"/>
        <v>12.41</v>
      </c>
      <c r="H22" s="11">
        <f t="shared" si="7"/>
        <v>12.52</v>
      </c>
      <c r="I22" s="11">
        <f t="shared" si="7"/>
        <v>0.17000000000000171</v>
      </c>
      <c r="J22" s="12">
        <f t="shared" si="2"/>
        <v>5.3533333333333344</v>
      </c>
    </row>
    <row r="24" spans="1:10" x14ac:dyDescent="0.2">
      <c r="A24" s="1" t="s">
        <v>24</v>
      </c>
    </row>
    <row r="25" spans="1:10" x14ac:dyDescent="0.2">
      <c r="A25" s="13" t="s">
        <v>25</v>
      </c>
    </row>
    <row r="26" spans="1:10" x14ac:dyDescent="0.2">
      <c r="A26" s="14" t="s">
        <v>26</v>
      </c>
    </row>
    <row r="27" spans="1:10" x14ac:dyDescent="0.2">
      <c r="A27" s="15" t="s">
        <v>27</v>
      </c>
    </row>
    <row r="28" spans="1:10" x14ac:dyDescent="0.2">
      <c r="A28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zoomScaleNormal="100" workbookViewId="0">
      <selection activeCell="A14" sqref="A14"/>
    </sheetView>
  </sheetViews>
  <sheetFormatPr baseColWidth="10" defaultColWidth="8.6640625" defaultRowHeight="15" x14ac:dyDescent="0.2"/>
  <cols>
    <col min="1" max="1" width="44" bestFit="1" customWidth="1"/>
    <col min="2" max="9" width="14" customWidth="1"/>
  </cols>
  <sheetData>
    <row r="1" spans="1:8" x14ac:dyDescent="0.2">
      <c r="A1" s="1" t="s">
        <v>0</v>
      </c>
      <c r="B1" s="17" t="s">
        <v>1</v>
      </c>
    </row>
    <row r="2" spans="1:8" x14ac:dyDescent="0.2">
      <c r="A2" s="1" t="s">
        <v>2</v>
      </c>
      <c r="B2" s="18">
        <v>41070</v>
      </c>
    </row>
    <row r="3" spans="1:8" x14ac:dyDescent="0.2">
      <c r="A3" s="1" t="s">
        <v>3</v>
      </c>
      <c r="B3" s="2" t="s">
        <v>4</v>
      </c>
    </row>
    <row r="4" spans="1:8" x14ac:dyDescent="0.2">
      <c r="A4" s="1" t="s">
        <v>5</v>
      </c>
      <c r="B4" s="2">
        <v>0.5</v>
      </c>
    </row>
    <row r="6" spans="1:8" x14ac:dyDescent="0.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</row>
    <row r="7" spans="1:8" x14ac:dyDescent="0.2">
      <c r="A7" s="4" t="s">
        <v>14</v>
      </c>
      <c r="B7" s="20">
        <v>41070</v>
      </c>
      <c r="C7" s="5" t="s">
        <v>15</v>
      </c>
      <c r="D7" s="6">
        <v>6.91</v>
      </c>
      <c r="E7" s="6">
        <v>5.46</v>
      </c>
      <c r="F7" s="6">
        <v>29.35</v>
      </c>
      <c r="G7" s="6">
        <v>27.12</v>
      </c>
      <c r="H7" s="6">
        <v>13.6</v>
      </c>
    </row>
    <row r="8" spans="1:8" x14ac:dyDescent="0.2">
      <c r="A8" s="7" t="s">
        <v>16</v>
      </c>
      <c r="B8" s="19">
        <v>41061</v>
      </c>
      <c r="C8" s="9">
        <v>874</v>
      </c>
      <c r="D8" s="8">
        <v>8</v>
      </c>
      <c r="E8" s="8">
        <v>4</v>
      </c>
      <c r="F8" s="8">
        <v>33</v>
      </c>
      <c r="G8" s="8">
        <v>34</v>
      </c>
      <c r="H8" s="8">
        <v>15</v>
      </c>
    </row>
    <row r="9" spans="1:8" x14ac:dyDescent="0.2">
      <c r="A9" s="7" t="s">
        <v>17</v>
      </c>
      <c r="B9" s="19">
        <v>41067</v>
      </c>
      <c r="C9" s="9">
        <v>1017</v>
      </c>
      <c r="D9" s="8">
        <v>8</v>
      </c>
      <c r="E9" s="8">
        <v>5</v>
      </c>
      <c r="F9" s="8">
        <v>31.5</v>
      </c>
      <c r="G9" s="8">
        <v>34.5</v>
      </c>
      <c r="H9" s="8">
        <v>15.5</v>
      </c>
    </row>
    <row r="10" spans="1:8" x14ac:dyDescent="0.2">
      <c r="A10" s="21" t="s">
        <v>18</v>
      </c>
      <c r="B10" s="19">
        <v>41066</v>
      </c>
      <c r="C10" s="9">
        <v>875</v>
      </c>
      <c r="D10" s="8">
        <v>8</v>
      </c>
      <c r="E10" s="8">
        <v>5</v>
      </c>
      <c r="F10" s="8">
        <v>32.5</v>
      </c>
      <c r="G10" s="8">
        <v>32.5</v>
      </c>
      <c r="H10" s="8">
        <v>14</v>
      </c>
    </row>
    <row r="11" spans="1:8" x14ac:dyDescent="0.2">
      <c r="A11" s="7" t="s">
        <v>19</v>
      </c>
      <c r="B11" s="19">
        <v>41067</v>
      </c>
      <c r="C11" s="9">
        <v>1043</v>
      </c>
      <c r="D11" s="8">
        <v>7</v>
      </c>
      <c r="E11" s="8">
        <v>5</v>
      </c>
      <c r="F11" s="8">
        <v>34</v>
      </c>
      <c r="G11" s="8">
        <v>33</v>
      </c>
      <c r="H11" s="8">
        <v>15</v>
      </c>
    </row>
    <row r="12" spans="1:8" x14ac:dyDescent="0.2">
      <c r="A12" s="7" t="s">
        <v>20</v>
      </c>
      <c r="B12" s="19">
        <v>41067</v>
      </c>
      <c r="C12" s="9">
        <v>1791</v>
      </c>
      <c r="D12" s="8">
        <v>8</v>
      </c>
      <c r="E12" s="8">
        <v>5.5</v>
      </c>
      <c r="F12" s="8">
        <v>32</v>
      </c>
      <c r="G12" s="8">
        <v>33.5</v>
      </c>
      <c r="H12" s="8">
        <v>16</v>
      </c>
    </row>
    <row r="13" spans="1:8" x14ac:dyDescent="0.2">
      <c r="A13" s="21" t="s">
        <v>21</v>
      </c>
      <c r="B13" s="19">
        <v>41066</v>
      </c>
      <c r="C13" s="9">
        <v>1182</v>
      </c>
      <c r="D13" s="8">
        <v>9</v>
      </c>
      <c r="E13" s="8">
        <v>4.5</v>
      </c>
      <c r="F13" s="8">
        <v>32</v>
      </c>
      <c r="G13" s="8">
        <v>32</v>
      </c>
      <c r="H13" s="8">
        <v>15.5</v>
      </c>
    </row>
    <row r="14" spans="1:8" x14ac:dyDescent="0.2">
      <c r="A14" s="21" t="s">
        <v>51</v>
      </c>
      <c r="B14" s="19">
        <v>41063</v>
      </c>
      <c r="C14" s="9">
        <v>1000</v>
      </c>
      <c r="D14" s="8">
        <v>7.5</v>
      </c>
      <c r="E14" s="8">
        <v>5</v>
      </c>
      <c r="F14" s="8">
        <v>31.5</v>
      </c>
      <c r="G14" s="8">
        <v>35</v>
      </c>
      <c r="H14" s="8">
        <v>15</v>
      </c>
    </row>
    <row r="15" spans="1:8" x14ac:dyDescent="0.2">
      <c r="A15" s="7"/>
      <c r="B15" s="19"/>
      <c r="C15" s="9"/>
      <c r="D15" s="8"/>
      <c r="E15" s="8"/>
      <c r="F15" s="8"/>
      <c r="G15" s="8"/>
      <c r="H15" s="8"/>
    </row>
    <row r="17" spans="1:9" ht="16" customHeight="1" x14ac:dyDescent="0.2">
      <c r="A17" s="10" t="s">
        <v>22</v>
      </c>
    </row>
    <row r="18" spans="1:9" x14ac:dyDescent="0.2">
      <c r="A18" s="3" t="s">
        <v>6</v>
      </c>
      <c r="B18" s="3"/>
      <c r="C18" s="3"/>
      <c r="D18" s="3" t="str">
        <f>D6</f>
        <v>Front de Gauche</v>
      </c>
      <c r="E18" s="3" t="str">
        <f>E6</f>
        <v>EELV</v>
      </c>
      <c r="F18" s="3" t="str">
        <f>F6</f>
        <v>PS</v>
      </c>
      <c r="G18" s="3" t="str">
        <f>G6</f>
        <v>UMP</v>
      </c>
      <c r="H18" s="3" t="str">
        <f>H6</f>
        <v>FN</v>
      </c>
      <c r="I18" s="3" t="s">
        <v>23</v>
      </c>
    </row>
    <row r="19" spans="1:9" x14ac:dyDescent="0.2">
      <c r="A19" s="7" t="str">
        <f t="shared" ref="A19:A26" si="0">A8</f>
        <v>Ifop</v>
      </c>
      <c r="D19" s="11">
        <f>IF(D8="","",ABS(D8-D7))</f>
        <v>1.0899999999999999</v>
      </c>
      <c r="E19" s="11">
        <f>IF(E8="","",ABS(E8-E7))</f>
        <v>1.46</v>
      </c>
      <c r="F19" s="11">
        <f>IF(F8="","",ABS(F8-F7))</f>
        <v>3.6499999999999986</v>
      </c>
      <c r="G19" s="11">
        <f>IF(G8="","",ABS(G8-G7))</f>
        <v>6.879999999999999</v>
      </c>
      <c r="H19" s="11">
        <f>IF(H8="","",ABS(H8-H7))</f>
        <v>1.4000000000000004</v>
      </c>
      <c r="I19" s="12">
        <f t="shared" ref="I19:I24" si="1">IF(COUNTA(D8:H8)=0,"",AVERAGE(D19:H19))</f>
        <v>2.8959999999999999</v>
      </c>
    </row>
    <row r="20" spans="1:9" x14ac:dyDescent="0.2">
      <c r="A20" s="7" t="str">
        <f t="shared" si="0"/>
        <v>Ipsos</v>
      </c>
      <c r="D20" s="11">
        <f>IF(D9="","",ABS(D9-D7))</f>
        <v>1.0899999999999999</v>
      </c>
      <c r="E20" s="11">
        <f>IF(E9="","",ABS(E9-E7))</f>
        <v>0.45999999999999996</v>
      </c>
      <c r="F20" s="11">
        <f>IF(F9="","",ABS(F9-F7))</f>
        <v>2.1499999999999986</v>
      </c>
      <c r="G20" s="11">
        <f>IF(G9="","",ABS(G9-G7))</f>
        <v>7.379999999999999</v>
      </c>
      <c r="H20" s="11">
        <f>IF(H9="","",ABS(H9-H7))</f>
        <v>1.9000000000000004</v>
      </c>
      <c r="I20" s="12">
        <f t="shared" si="1"/>
        <v>2.5959999999999996</v>
      </c>
    </row>
    <row r="21" spans="1:9" x14ac:dyDescent="0.2">
      <c r="A21" s="7" t="str">
        <f t="shared" si="0"/>
        <v>CSA</v>
      </c>
      <c r="D21" s="11">
        <f>IF(D10="","",ABS(D10-D7))</f>
        <v>1.0899999999999999</v>
      </c>
      <c r="E21" s="11">
        <f>IF(E10="","",ABS(E10-E7))</f>
        <v>0.45999999999999996</v>
      </c>
      <c r="F21" s="11">
        <f>IF(F10="","",ABS(F10-F7))</f>
        <v>3.1499999999999986</v>
      </c>
      <c r="G21" s="11">
        <f>IF(G10="","",ABS(G10-G7))</f>
        <v>5.379999999999999</v>
      </c>
      <c r="H21" s="11">
        <f>IF(H10="","",ABS(H10-H7))</f>
        <v>0.40000000000000036</v>
      </c>
      <c r="I21" s="12">
        <f t="shared" si="1"/>
        <v>2.0959999999999996</v>
      </c>
    </row>
    <row r="22" spans="1:9" x14ac:dyDescent="0.2">
      <c r="A22" s="7" t="str">
        <f t="shared" si="0"/>
        <v>Harris Interactive</v>
      </c>
      <c r="D22" s="11">
        <f>IF(D11="","",ABS(D11-D7))</f>
        <v>8.9999999999999858E-2</v>
      </c>
      <c r="E22" s="11">
        <f>IF(E11="","",ABS(E11-E7))</f>
        <v>0.45999999999999996</v>
      </c>
      <c r="F22" s="11">
        <f>IF(F11="","",ABS(F11-F7))</f>
        <v>4.6499999999999986</v>
      </c>
      <c r="G22" s="11">
        <f>IF(G11="","",ABS(G11-G7))</f>
        <v>5.879999999999999</v>
      </c>
      <c r="H22" s="11">
        <f>IF(H11="","",ABS(H11-H7))</f>
        <v>1.4000000000000004</v>
      </c>
      <c r="I22" s="12">
        <f t="shared" si="1"/>
        <v>2.4959999999999996</v>
      </c>
    </row>
    <row r="23" spans="1:9" x14ac:dyDescent="0.2">
      <c r="A23" s="7" t="str">
        <f t="shared" si="0"/>
        <v>OpinionWay</v>
      </c>
      <c r="D23" s="11">
        <f>IF(D12="","",ABS(D12-D7))</f>
        <v>1.0899999999999999</v>
      </c>
      <c r="E23" s="11">
        <f>IF(E12="","",ABS(E12-E7))</f>
        <v>4.0000000000000036E-2</v>
      </c>
      <c r="F23" s="11">
        <f>IF(F12="","",ABS(F12-F7))</f>
        <v>2.6499999999999986</v>
      </c>
      <c r="G23" s="11">
        <f>IF(G12="","",ABS(G12-G7))</f>
        <v>6.379999999999999</v>
      </c>
      <c r="H23" s="11">
        <f>IF(H12="","",ABS(H12-H7))</f>
        <v>2.4000000000000004</v>
      </c>
      <c r="I23" s="12">
        <f t="shared" si="1"/>
        <v>2.5119999999999996</v>
      </c>
    </row>
    <row r="24" spans="1:9" x14ac:dyDescent="0.2">
      <c r="A24" s="7" t="str">
        <f t="shared" si="0"/>
        <v>BVA</v>
      </c>
      <c r="D24" s="11">
        <f>IF(D13="","",ABS(D13-D7))</f>
        <v>2.09</v>
      </c>
      <c r="E24" s="11">
        <f>IF(E13="","",ABS(E13-E7))</f>
        <v>0.96</v>
      </c>
      <c r="F24" s="11">
        <f>IF(F13="","",ABS(F13-F7))</f>
        <v>2.6499999999999986</v>
      </c>
      <c r="G24" s="11">
        <f>IF(G13="","",ABS(G13-G7))</f>
        <v>4.879999999999999</v>
      </c>
      <c r="H24" s="11">
        <f>IF(H13="","",ABS(H13-H7))</f>
        <v>1.9000000000000004</v>
      </c>
      <c r="I24" s="12">
        <f t="shared" si="1"/>
        <v>2.4959999999999996</v>
      </c>
    </row>
    <row r="25" spans="1:9" x14ac:dyDescent="0.2">
      <c r="A25" s="7" t="str">
        <f t="shared" si="0"/>
        <v>Kantar</v>
      </c>
      <c r="D25" s="11">
        <f>IF(D14="","",ABS(D14-D7))</f>
        <v>0.58999999999999986</v>
      </c>
      <c r="E25" s="11">
        <f>IF(E14="","",ABS(E14-E7))</f>
        <v>0.45999999999999996</v>
      </c>
      <c r="F25" s="11">
        <f>IF(F14="","",ABS(F14-F7))</f>
        <v>2.1499999999999986</v>
      </c>
      <c r="G25" s="11">
        <f>IF(G14="","",ABS(G14-G7))</f>
        <v>7.879999999999999</v>
      </c>
      <c r="H25" s="11">
        <f>IF(H14="","",ABS(H14-H7))</f>
        <v>1.4000000000000004</v>
      </c>
      <c r="I25" s="12">
        <f>IF(COUNTA(D14:F14)=0,"",AVERAGE(D25:F25))</f>
        <v>1.0666666666666662</v>
      </c>
    </row>
    <row r="26" spans="1:9" x14ac:dyDescent="0.2">
      <c r="A26" s="7">
        <f t="shared" si="0"/>
        <v>0</v>
      </c>
      <c r="D26" s="11" t="str">
        <f>IF(D15="","",ABS(D15-D7))</f>
        <v/>
      </c>
      <c r="E26" s="11" t="str">
        <f>IF(E15="","",ABS(E15-E7))</f>
        <v/>
      </c>
      <c r="F26" s="11" t="str">
        <f>IF(F15="","",ABS(F15-F7))</f>
        <v/>
      </c>
      <c r="G26" s="11" t="str">
        <f>IF(G15="","",ABS(G15-G7))</f>
        <v/>
      </c>
      <c r="H26" s="11" t="str">
        <f>IF(H15="","",ABS(H15-H7))</f>
        <v/>
      </c>
      <c r="I26" s="12" t="str">
        <f>IF(COUNTA(D15:F15)=0,"",AVERAGE(D26:F26))</f>
        <v/>
      </c>
    </row>
    <row r="28" spans="1:9" x14ac:dyDescent="0.2">
      <c r="A28" s="1" t="s">
        <v>24</v>
      </c>
    </row>
    <row r="29" spans="1:9" x14ac:dyDescent="0.2">
      <c r="A29" s="13" t="s">
        <v>25</v>
      </c>
    </row>
    <row r="30" spans="1:9" x14ac:dyDescent="0.2">
      <c r="A30" s="14" t="s">
        <v>26</v>
      </c>
    </row>
    <row r="31" spans="1:9" x14ac:dyDescent="0.2">
      <c r="A31" s="15" t="s">
        <v>27</v>
      </c>
    </row>
    <row r="32" spans="1:9" x14ac:dyDescent="0.2">
      <c r="A32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zoomScaleNormal="100" workbookViewId="0">
      <selection activeCell="A14" sqref="A14"/>
    </sheetView>
  </sheetViews>
  <sheetFormatPr baseColWidth="10" defaultColWidth="8.6640625" defaultRowHeight="15" x14ac:dyDescent="0.2"/>
  <cols>
    <col min="1" max="1" width="22" customWidth="1"/>
    <col min="2" max="6" width="14" customWidth="1"/>
  </cols>
  <sheetData>
    <row r="1" spans="1:5" x14ac:dyDescent="0.2">
      <c r="A1" s="1" t="s">
        <v>0</v>
      </c>
      <c r="B1" s="17" t="s">
        <v>68</v>
      </c>
    </row>
    <row r="2" spans="1:5" x14ac:dyDescent="0.2">
      <c r="A2" s="1" t="s">
        <v>2</v>
      </c>
      <c r="B2" s="18">
        <v>41035</v>
      </c>
    </row>
    <row r="3" spans="1:5" x14ac:dyDescent="0.2">
      <c r="A3" s="1" t="s">
        <v>3</v>
      </c>
      <c r="B3" s="2" t="s">
        <v>4</v>
      </c>
    </row>
    <row r="4" spans="1:5" x14ac:dyDescent="0.2">
      <c r="A4" s="1" t="s">
        <v>5</v>
      </c>
      <c r="B4" s="2">
        <v>1</v>
      </c>
    </row>
    <row r="6" spans="1:5" x14ac:dyDescent="0.2">
      <c r="A6" s="3" t="s">
        <v>6</v>
      </c>
      <c r="B6" s="23" t="s">
        <v>7</v>
      </c>
      <c r="C6" s="3" t="s">
        <v>8</v>
      </c>
      <c r="D6" s="3" t="s">
        <v>69</v>
      </c>
      <c r="E6" s="3" t="s">
        <v>70</v>
      </c>
    </row>
    <row r="7" spans="1:5" x14ac:dyDescent="0.2">
      <c r="A7" s="4" t="s">
        <v>14</v>
      </c>
      <c r="B7" s="25">
        <v>41035</v>
      </c>
      <c r="C7" s="5" t="s">
        <v>15</v>
      </c>
      <c r="D7" s="6">
        <v>51.64</v>
      </c>
      <c r="E7" s="6">
        <v>48.36</v>
      </c>
    </row>
    <row r="8" spans="1:5" x14ac:dyDescent="0.2">
      <c r="A8" s="7" t="s">
        <v>16</v>
      </c>
      <c r="B8" s="19">
        <v>41026</v>
      </c>
      <c r="C8" s="9">
        <v>1000</v>
      </c>
      <c r="D8" s="8">
        <v>55</v>
      </c>
      <c r="E8" s="8">
        <v>45</v>
      </c>
    </row>
    <row r="9" spans="1:5" x14ac:dyDescent="0.2">
      <c r="A9" s="7" t="s">
        <v>17</v>
      </c>
      <c r="B9" s="19">
        <v>41029</v>
      </c>
      <c r="C9" s="9">
        <v>1000</v>
      </c>
      <c r="D9" s="8">
        <v>53</v>
      </c>
      <c r="E9" s="8">
        <v>47</v>
      </c>
    </row>
    <row r="10" spans="1:5" x14ac:dyDescent="0.2">
      <c r="A10" s="7" t="s">
        <v>19</v>
      </c>
      <c r="B10" s="19">
        <v>41016</v>
      </c>
      <c r="C10" s="9">
        <v>1000</v>
      </c>
      <c r="D10" s="8">
        <v>53</v>
      </c>
      <c r="E10" s="8">
        <v>47</v>
      </c>
    </row>
    <row r="11" spans="1:5" x14ac:dyDescent="0.2">
      <c r="A11" s="7" t="s">
        <v>20</v>
      </c>
      <c r="B11" s="19">
        <v>41023</v>
      </c>
      <c r="C11" s="9">
        <v>1000</v>
      </c>
      <c r="D11" s="8">
        <v>54</v>
      </c>
      <c r="E11" s="8">
        <v>46</v>
      </c>
    </row>
    <row r="12" spans="1:5" x14ac:dyDescent="0.2">
      <c r="A12" s="21" t="s">
        <v>18</v>
      </c>
      <c r="B12" s="19">
        <v>41026</v>
      </c>
      <c r="C12" s="9">
        <v>1000</v>
      </c>
      <c r="D12" s="8">
        <v>54</v>
      </c>
      <c r="E12" s="8">
        <v>46</v>
      </c>
    </row>
    <row r="13" spans="1:5" x14ac:dyDescent="0.2">
      <c r="A13" s="7" t="s">
        <v>21</v>
      </c>
      <c r="B13" s="19">
        <v>41031</v>
      </c>
      <c r="C13" s="9">
        <v>1000</v>
      </c>
      <c r="D13" s="8">
        <v>53.5</v>
      </c>
      <c r="E13" s="8">
        <v>48.36</v>
      </c>
    </row>
    <row r="14" spans="1:5" x14ac:dyDescent="0.2">
      <c r="A14" s="21" t="s">
        <v>51</v>
      </c>
      <c r="B14" s="19">
        <v>41024</v>
      </c>
      <c r="C14" s="9">
        <v>1000</v>
      </c>
      <c r="D14" s="8">
        <v>55</v>
      </c>
      <c r="E14" s="8">
        <v>45</v>
      </c>
    </row>
    <row r="15" spans="1:5" x14ac:dyDescent="0.2">
      <c r="A15" s="7"/>
      <c r="B15" s="8"/>
      <c r="C15" s="9"/>
      <c r="D15" s="8"/>
      <c r="E15" s="8"/>
    </row>
    <row r="17" spans="1:6" ht="16" customHeight="1" x14ac:dyDescent="0.2">
      <c r="A17" s="10" t="s">
        <v>22</v>
      </c>
    </row>
    <row r="18" spans="1:6" x14ac:dyDescent="0.2">
      <c r="A18" s="3" t="s">
        <v>6</v>
      </c>
      <c r="B18" s="3"/>
      <c r="C18" s="3"/>
      <c r="D18" s="3" t="str">
        <f>D6</f>
        <v>Hollande</v>
      </c>
      <c r="E18" s="3" t="str">
        <f>E6</f>
        <v>Sarkozy</v>
      </c>
      <c r="F18" s="3" t="s">
        <v>23</v>
      </c>
    </row>
    <row r="19" spans="1:6" x14ac:dyDescent="0.2">
      <c r="A19" s="7" t="str">
        <f t="shared" ref="A19:A26" si="0">A8</f>
        <v>Ifop</v>
      </c>
      <c r="D19" s="11">
        <f>IF(D8="","",ABS(D8-D7))</f>
        <v>3.3599999999999994</v>
      </c>
      <c r="E19" s="11">
        <f>IF(E8="","",ABS(E8-E7))</f>
        <v>3.3599999999999994</v>
      </c>
      <c r="F19" s="12">
        <f t="shared" ref="F19:F26" si="1">IF(COUNTA(D8:E8)=0,"",AVERAGE(D19:E19))</f>
        <v>3.3599999999999994</v>
      </c>
    </row>
    <row r="20" spans="1:6" x14ac:dyDescent="0.2">
      <c r="A20" s="7" t="str">
        <f t="shared" si="0"/>
        <v>Ipsos</v>
      </c>
      <c r="D20" s="11">
        <f>IF(D9="","",ABS(D9-D7))</f>
        <v>1.3599999999999994</v>
      </c>
      <c r="E20" s="11">
        <f>IF(E9="","",ABS(E9-E7))</f>
        <v>1.3599999999999994</v>
      </c>
      <c r="F20" s="12">
        <f t="shared" si="1"/>
        <v>1.3599999999999994</v>
      </c>
    </row>
    <row r="21" spans="1:6" x14ac:dyDescent="0.2">
      <c r="A21" s="7" t="str">
        <f t="shared" si="0"/>
        <v>Harris Interactive</v>
      </c>
      <c r="D21" s="11">
        <f>IF(D10="","",ABS(D10-D7))</f>
        <v>1.3599999999999994</v>
      </c>
      <c r="E21" s="11">
        <f>IF(E10="","",ABS(E10-E7))</f>
        <v>1.3599999999999994</v>
      </c>
      <c r="F21" s="12">
        <f t="shared" si="1"/>
        <v>1.3599999999999994</v>
      </c>
    </row>
    <row r="22" spans="1:6" x14ac:dyDescent="0.2">
      <c r="A22" s="7" t="str">
        <f t="shared" si="0"/>
        <v>OpinionWay</v>
      </c>
      <c r="D22" s="11">
        <f>IF(D11="","",ABS(D11-D7))</f>
        <v>2.3599999999999994</v>
      </c>
      <c r="E22" s="11">
        <f>IF(E11="","",ABS(E11-E7))</f>
        <v>2.3599999999999994</v>
      </c>
      <c r="F22" s="12">
        <f t="shared" si="1"/>
        <v>2.3599999999999994</v>
      </c>
    </row>
    <row r="23" spans="1:6" x14ac:dyDescent="0.2">
      <c r="A23" s="7" t="str">
        <f t="shared" si="0"/>
        <v>CSA</v>
      </c>
      <c r="D23" s="11">
        <f>IF(D12="","",ABS(D12-D7))</f>
        <v>2.3599999999999994</v>
      </c>
      <c r="E23" s="11">
        <f>IF(E12="","",ABS(E12-E7))</f>
        <v>2.3599999999999994</v>
      </c>
      <c r="F23" s="12">
        <f t="shared" si="1"/>
        <v>2.3599999999999994</v>
      </c>
    </row>
    <row r="24" spans="1:6" x14ac:dyDescent="0.2">
      <c r="A24" s="7" t="str">
        <f t="shared" si="0"/>
        <v>BVA</v>
      </c>
      <c r="D24" s="11">
        <f>IF(D13="","",ABS(D13-D7))</f>
        <v>1.8599999999999994</v>
      </c>
      <c r="E24" s="11">
        <f>IF(E13="","",ABS(E13-E7))</f>
        <v>0</v>
      </c>
      <c r="F24" s="12">
        <f t="shared" si="1"/>
        <v>0.92999999999999972</v>
      </c>
    </row>
    <row r="25" spans="1:6" x14ac:dyDescent="0.2">
      <c r="A25" s="7" t="str">
        <f t="shared" si="0"/>
        <v>Kantar</v>
      </c>
      <c r="D25" s="11">
        <f>IF(D14="","",ABS(D14-D7))</f>
        <v>3.3599999999999994</v>
      </c>
      <c r="E25" s="11">
        <f>IF(E14="","",ABS(E14-E7))</f>
        <v>3.3599999999999994</v>
      </c>
      <c r="F25" s="12">
        <f t="shared" si="1"/>
        <v>3.3599999999999994</v>
      </c>
    </row>
    <row r="26" spans="1:6" x14ac:dyDescent="0.2">
      <c r="A26" s="7">
        <f t="shared" si="0"/>
        <v>0</v>
      </c>
      <c r="D26" s="11" t="str">
        <f>IF(D15="","",ABS(D15-D7))</f>
        <v/>
      </c>
      <c r="E26" s="11" t="str">
        <f>IF(E15="","",ABS(E15-E7))</f>
        <v/>
      </c>
      <c r="F26" s="12" t="str">
        <f t="shared" si="1"/>
        <v/>
      </c>
    </row>
    <row r="28" spans="1:6" x14ac:dyDescent="0.2">
      <c r="A28" s="1" t="s">
        <v>24</v>
      </c>
    </row>
    <row r="29" spans="1:6" x14ac:dyDescent="0.2">
      <c r="A29" s="13" t="s">
        <v>25</v>
      </c>
    </row>
    <row r="30" spans="1:6" x14ac:dyDescent="0.2">
      <c r="A30" s="14" t="s">
        <v>26</v>
      </c>
    </row>
    <row r="31" spans="1:6" x14ac:dyDescent="0.2">
      <c r="A31" s="15" t="s">
        <v>27</v>
      </c>
    </row>
    <row r="32" spans="1:6" x14ac:dyDescent="0.2">
      <c r="A32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"/>
  <sheetViews>
    <sheetView zoomScaleNormal="100" workbookViewId="0">
      <selection activeCell="A14" sqref="A14"/>
    </sheetView>
  </sheetViews>
  <sheetFormatPr baseColWidth="10" defaultColWidth="8.6640625" defaultRowHeight="15" x14ac:dyDescent="0.2"/>
  <cols>
    <col min="1" max="1" width="22" customWidth="1"/>
    <col min="2" max="9" width="14" customWidth="1"/>
  </cols>
  <sheetData>
    <row r="1" spans="1:8" x14ac:dyDescent="0.2">
      <c r="A1" s="1" t="s">
        <v>0</v>
      </c>
      <c r="B1" s="17" t="s">
        <v>71</v>
      </c>
    </row>
    <row r="2" spans="1:8" x14ac:dyDescent="0.2">
      <c r="A2" s="1" t="s">
        <v>2</v>
      </c>
      <c r="B2" s="22">
        <v>41021</v>
      </c>
    </row>
    <row r="3" spans="1:8" x14ac:dyDescent="0.2">
      <c r="A3" s="1" t="s">
        <v>3</v>
      </c>
      <c r="B3" s="2" t="s">
        <v>4</v>
      </c>
    </row>
    <row r="4" spans="1:8" x14ac:dyDescent="0.2">
      <c r="A4" s="1" t="s">
        <v>5</v>
      </c>
      <c r="B4" s="2">
        <v>1</v>
      </c>
    </row>
    <row r="6" spans="1:8" x14ac:dyDescent="0.2">
      <c r="A6" s="3" t="s">
        <v>6</v>
      </c>
      <c r="B6" s="3" t="s">
        <v>7</v>
      </c>
      <c r="C6" s="3" t="s">
        <v>8</v>
      </c>
      <c r="D6" s="3" t="s">
        <v>54</v>
      </c>
      <c r="E6" s="3" t="s">
        <v>69</v>
      </c>
      <c r="F6" s="3" t="s">
        <v>72</v>
      </c>
      <c r="G6" s="3" t="s">
        <v>70</v>
      </c>
      <c r="H6" s="3" t="s">
        <v>50</v>
      </c>
    </row>
    <row r="7" spans="1:8" x14ac:dyDescent="0.2">
      <c r="A7" s="4" t="s">
        <v>14</v>
      </c>
      <c r="B7" s="25">
        <v>41021</v>
      </c>
      <c r="C7" s="5" t="s">
        <v>15</v>
      </c>
      <c r="D7" s="6">
        <v>11.1</v>
      </c>
      <c r="E7" s="6">
        <v>28.63</v>
      </c>
      <c r="F7" s="6">
        <v>9.1300000000000008</v>
      </c>
      <c r="G7" s="6">
        <v>27.18</v>
      </c>
      <c r="H7" s="6">
        <v>17.899999999999999</v>
      </c>
    </row>
    <row r="8" spans="1:8" x14ac:dyDescent="0.2">
      <c r="A8" s="7" t="s">
        <v>16</v>
      </c>
      <c r="B8" s="19">
        <v>41015</v>
      </c>
      <c r="C8" s="9">
        <v>1000</v>
      </c>
      <c r="D8" s="8">
        <v>14.5</v>
      </c>
      <c r="E8" s="8">
        <v>28</v>
      </c>
      <c r="F8" s="8">
        <v>9.5</v>
      </c>
      <c r="G8" s="8">
        <v>27</v>
      </c>
      <c r="H8" s="8">
        <v>15.5</v>
      </c>
    </row>
    <row r="9" spans="1:8" x14ac:dyDescent="0.2">
      <c r="A9" s="7" t="s">
        <v>17</v>
      </c>
      <c r="B9" s="19">
        <v>41016</v>
      </c>
      <c r="C9" s="9">
        <v>1000</v>
      </c>
      <c r="D9" s="8">
        <v>14.5</v>
      </c>
      <c r="E9" s="8">
        <v>27</v>
      </c>
      <c r="F9" s="8">
        <v>10</v>
      </c>
      <c r="G9" s="8">
        <v>27</v>
      </c>
      <c r="H9" s="8">
        <v>15.5</v>
      </c>
    </row>
    <row r="10" spans="1:8" x14ac:dyDescent="0.2">
      <c r="A10" s="21" t="s">
        <v>18</v>
      </c>
      <c r="B10" s="19">
        <v>41016</v>
      </c>
      <c r="C10" s="9">
        <v>1000</v>
      </c>
      <c r="D10" s="8">
        <v>15</v>
      </c>
      <c r="E10" s="8">
        <v>28</v>
      </c>
      <c r="F10" s="8">
        <v>11</v>
      </c>
      <c r="G10" s="8">
        <v>28</v>
      </c>
      <c r="H10" s="8">
        <v>17</v>
      </c>
    </row>
    <row r="11" spans="1:8" x14ac:dyDescent="0.2">
      <c r="A11" s="7" t="s">
        <v>19</v>
      </c>
      <c r="B11" s="19">
        <v>41016</v>
      </c>
      <c r="C11" s="9">
        <v>1000</v>
      </c>
      <c r="D11" s="8">
        <v>12</v>
      </c>
      <c r="E11" s="8">
        <v>27</v>
      </c>
      <c r="F11" s="8">
        <v>11</v>
      </c>
      <c r="G11" s="8">
        <v>28</v>
      </c>
      <c r="H11" s="8">
        <v>17</v>
      </c>
    </row>
    <row r="12" spans="1:8" x14ac:dyDescent="0.2">
      <c r="A12" s="7" t="s">
        <v>20</v>
      </c>
      <c r="B12" s="19">
        <v>41011</v>
      </c>
      <c r="C12" s="9">
        <v>1000</v>
      </c>
      <c r="D12" s="8">
        <v>13</v>
      </c>
      <c r="E12" s="8">
        <v>28</v>
      </c>
      <c r="F12" s="8">
        <v>10</v>
      </c>
      <c r="G12" s="8">
        <v>27</v>
      </c>
      <c r="H12" s="8">
        <v>16</v>
      </c>
    </row>
    <row r="13" spans="1:8" x14ac:dyDescent="0.2">
      <c r="A13" s="7" t="s">
        <v>21</v>
      </c>
      <c r="B13" s="19">
        <v>41011</v>
      </c>
      <c r="C13" s="9">
        <v>1000</v>
      </c>
      <c r="D13" s="8">
        <v>13</v>
      </c>
      <c r="E13" s="8">
        <v>30</v>
      </c>
      <c r="F13" s="8">
        <v>11</v>
      </c>
      <c r="G13" s="8">
        <v>27</v>
      </c>
      <c r="H13" s="8">
        <v>15</v>
      </c>
    </row>
    <row r="14" spans="1:8" x14ac:dyDescent="0.2">
      <c r="A14" s="21" t="s">
        <v>51</v>
      </c>
      <c r="B14" s="19">
        <v>41012</v>
      </c>
      <c r="C14" s="9">
        <v>1000</v>
      </c>
      <c r="D14" s="8">
        <v>16</v>
      </c>
      <c r="E14" s="8">
        <v>28</v>
      </c>
      <c r="F14" s="8">
        <v>9</v>
      </c>
      <c r="G14" s="8">
        <v>26</v>
      </c>
      <c r="H14" s="8">
        <v>16</v>
      </c>
    </row>
    <row r="16" spans="1:8" ht="16" customHeight="1" x14ac:dyDescent="0.2">
      <c r="A16" s="10" t="s">
        <v>22</v>
      </c>
    </row>
    <row r="17" spans="1:9" x14ac:dyDescent="0.2">
      <c r="A17" s="3" t="s">
        <v>6</v>
      </c>
      <c r="B17" s="3"/>
      <c r="C17" s="3"/>
      <c r="D17" s="3" t="str">
        <f>D6</f>
        <v>Mélenchon</v>
      </c>
      <c r="E17" s="3" t="str">
        <f>E6</f>
        <v>Hollande</v>
      </c>
      <c r="F17" s="3" t="str">
        <f>F6</f>
        <v>Bayrou</v>
      </c>
      <c r="G17" s="3" t="str">
        <f>G6</f>
        <v>Sarkozy</v>
      </c>
      <c r="H17" s="3" t="str">
        <f>H6</f>
        <v>Le Pen</v>
      </c>
      <c r="I17" s="3" t="s">
        <v>23</v>
      </c>
    </row>
    <row r="18" spans="1:9" x14ac:dyDescent="0.2">
      <c r="A18" s="7" t="str">
        <f t="shared" ref="A18:A24" si="0">A8</f>
        <v>Ifop</v>
      </c>
      <c r="D18" s="11">
        <f>IF(D8="","",ABS(D8-D7))</f>
        <v>3.4000000000000004</v>
      </c>
      <c r="E18" s="11">
        <f>IF(E8="","",ABS(E8-E7))</f>
        <v>0.62999999999999901</v>
      </c>
      <c r="F18" s="11">
        <f>IF(F8="","",ABS(F8-F7))</f>
        <v>0.36999999999999922</v>
      </c>
      <c r="G18" s="11">
        <f>IF(G8="","",ABS(G8-G7))</f>
        <v>0.17999999999999972</v>
      </c>
      <c r="H18" s="11">
        <f>IF(H8="","",ABS(H8-H7))</f>
        <v>2.3999999999999986</v>
      </c>
      <c r="I18" s="12">
        <f t="shared" ref="I18:I24" si="1">IF(COUNTA(D8:H8)=0,"",AVERAGE(D18:H18))</f>
        <v>1.3959999999999995</v>
      </c>
    </row>
    <row r="19" spans="1:9" x14ac:dyDescent="0.2">
      <c r="A19" s="7" t="str">
        <f t="shared" si="0"/>
        <v>Ipsos</v>
      </c>
      <c r="D19" s="11">
        <f>IF(D9="","",ABS(D9-D7))</f>
        <v>3.4000000000000004</v>
      </c>
      <c r="E19" s="11">
        <f>IF(E9="","",ABS(E9-E7))</f>
        <v>1.629999999999999</v>
      </c>
      <c r="F19" s="11">
        <f>IF(F9="","",ABS(F9-F7))</f>
        <v>0.86999999999999922</v>
      </c>
      <c r="G19" s="11">
        <f>IF(G9="","",ABS(G9-G7))</f>
        <v>0.17999999999999972</v>
      </c>
      <c r="H19" s="11">
        <f>IF(H9="","",ABS(H9-H7))</f>
        <v>2.3999999999999986</v>
      </c>
      <c r="I19" s="12">
        <f t="shared" si="1"/>
        <v>1.6959999999999993</v>
      </c>
    </row>
    <row r="20" spans="1:9" x14ac:dyDescent="0.2">
      <c r="A20" s="7" t="str">
        <f t="shared" si="0"/>
        <v>CSA</v>
      </c>
      <c r="D20" s="11">
        <f>IF(D10="","",ABS(D10-D7))</f>
        <v>3.9000000000000004</v>
      </c>
      <c r="E20" s="11">
        <f>IF(E10="","",ABS(E10-E7))</f>
        <v>0.62999999999999901</v>
      </c>
      <c r="F20" s="11">
        <f>IF(F10="","",ABS(F10-F7))</f>
        <v>1.8699999999999992</v>
      </c>
      <c r="G20" s="11">
        <f>IF(G10="","",ABS(G10-G7))</f>
        <v>0.82000000000000028</v>
      </c>
      <c r="H20" s="11">
        <f>IF(H10="","",ABS(H10-H7))</f>
        <v>0.89999999999999858</v>
      </c>
      <c r="I20" s="12">
        <f t="shared" si="1"/>
        <v>1.6239999999999994</v>
      </c>
    </row>
    <row r="21" spans="1:9" x14ac:dyDescent="0.2">
      <c r="A21" s="7" t="str">
        <f t="shared" si="0"/>
        <v>Harris Interactive</v>
      </c>
      <c r="D21" s="11">
        <f>IF(D11="","",ABS(D11-D7))</f>
        <v>0.90000000000000036</v>
      </c>
      <c r="E21" s="11">
        <f>IF(E11="","",ABS(E11-E7))</f>
        <v>1.629999999999999</v>
      </c>
      <c r="F21" s="11">
        <f>IF(F11="","",ABS(F11-F7))</f>
        <v>1.8699999999999992</v>
      </c>
      <c r="G21" s="11">
        <f>IF(G11="","",ABS(G11-G7))</f>
        <v>0.82000000000000028</v>
      </c>
      <c r="H21" s="11">
        <f>IF(H11="","",ABS(H11-H7))</f>
        <v>0.89999999999999858</v>
      </c>
      <c r="I21" s="12">
        <f t="shared" si="1"/>
        <v>1.2239999999999995</v>
      </c>
    </row>
    <row r="22" spans="1:9" x14ac:dyDescent="0.2">
      <c r="A22" s="7" t="str">
        <f t="shared" si="0"/>
        <v>OpinionWay</v>
      </c>
      <c r="D22" s="11">
        <f>IF(D12="","",ABS(D12-D7))</f>
        <v>1.9000000000000004</v>
      </c>
      <c r="E22" s="11">
        <f>IF(E12="","",ABS(E12-E7))</f>
        <v>0.62999999999999901</v>
      </c>
      <c r="F22" s="11">
        <f>IF(F12="","",ABS(F12-F7))</f>
        <v>0.86999999999999922</v>
      </c>
      <c r="G22" s="11">
        <f>IF(G12="","",ABS(G12-G7))</f>
        <v>0.17999999999999972</v>
      </c>
      <c r="H22" s="11">
        <f>IF(H12="","",ABS(H12-H7))</f>
        <v>1.8999999999999986</v>
      </c>
      <c r="I22" s="12">
        <f t="shared" si="1"/>
        <v>1.0959999999999994</v>
      </c>
    </row>
    <row r="23" spans="1:9" x14ac:dyDescent="0.2">
      <c r="A23" s="7" t="str">
        <f t="shared" si="0"/>
        <v>BVA</v>
      </c>
      <c r="D23" s="11">
        <f>IF(D13="","",ABS(D13-D7))</f>
        <v>1.9000000000000004</v>
      </c>
      <c r="E23" s="11">
        <f>IF(E13="","",ABS(E13-E7))</f>
        <v>1.370000000000001</v>
      </c>
      <c r="F23" s="11">
        <f>IF(F13="","",ABS(F13-F7))</f>
        <v>1.8699999999999992</v>
      </c>
      <c r="G23" s="11">
        <f>IF(G13="","",ABS(G13-G7))</f>
        <v>0.17999999999999972</v>
      </c>
      <c r="H23" s="11">
        <f>IF(H13="","",ABS(H13-H7))</f>
        <v>2.8999999999999986</v>
      </c>
      <c r="I23" s="12">
        <f t="shared" si="1"/>
        <v>1.6439999999999997</v>
      </c>
    </row>
    <row r="24" spans="1:9" x14ac:dyDescent="0.2">
      <c r="A24" s="7" t="str">
        <f t="shared" si="0"/>
        <v>Kantar</v>
      </c>
      <c r="D24" s="11">
        <f>IF(D14="","",ABS(D14-D7))</f>
        <v>4.9000000000000004</v>
      </c>
      <c r="E24" s="11">
        <f>IF(E14="","",ABS(E14-E7))</f>
        <v>0.62999999999999901</v>
      </c>
      <c r="F24" s="11">
        <f>IF(F14="","",ABS(F14-F7))</f>
        <v>0.13000000000000078</v>
      </c>
      <c r="G24" s="11">
        <f>IF(G14="","",ABS(G14-G7))</f>
        <v>1.1799999999999997</v>
      </c>
      <c r="H24" s="11">
        <f>IF(H14="","",ABS(H14-H7))</f>
        <v>1.8999999999999986</v>
      </c>
      <c r="I24" s="12">
        <f t="shared" si="1"/>
        <v>1.7479999999999998</v>
      </c>
    </row>
    <row r="26" spans="1:9" x14ac:dyDescent="0.2">
      <c r="A26" s="1" t="s">
        <v>24</v>
      </c>
    </row>
    <row r="27" spans="1:9" x14ac:dyDescent="0.2">
      <c r="A27" s="13" t="s">
        <v>25</v>
      </c>
    </row>
    <row r="28" spans="1:9" x14ac:dyDescent="0.2">
      <c r="A28" s="14" t="s">
        <v>26</v>
      </c>
    </row>
    <row r="29" spans="1:9" x14ac:dyDescent="0.2">
      <c r="A29" s="15" t="s">
        <v>27</v>
      </c>
    </row>
    <row r="30" spans="1:9" x14ac:dyDescent="0.2">
      <c r="A30" s="16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Législatives 2024 T1</vt:lpstr>
      <vt:lpstr>Européennes 2024</vt:lpstr>
      <vt:lpstr>Législatives 2022 T1</vt:lpstr>
      <vt:lpstr>Présidentielle 2022 T2</vt:lpstr>
      <vt:lpstr>Présidentielle 2022 T1</vt:lpstr>
      <vt:lpstr>Européennes 2019</vt:lpstr>
      <vt:lpstr>Législatives 2017 T1</vt:lpstr>
      <vt:lpstr>Présidentielle 2017 T2</vt:lpstr>
      <vt:lpstr>Présidentielle 2017 T1</vt:lpstr>
      <vt:lpstr>Européennes 2014</vt:lpstr>
      <vt:lpstr>Législatives 2012 T1</vt:lpstr>
      <vt:lpstr>Présidentielle 2012 T2</vt:lpstr>
      <vt:lpstr>Présidentielle 2012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MOREL</cp:lastModifiedBy>
  <cp:revision>0</cp:revision>
  <dcterms:created xsi:type="dcterms:W3CDTF">2026-04-07T16:08:46Z</dcterms:created>
  <dcterms:modified xsi:type="dcterms:W3CDTF">2026-04-08T12:22:26Z</dcterms:modified>
  <dc:language>en-US</dc:language>
</cp:coreProperties>
</file>